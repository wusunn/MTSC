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baselines/"/>
    </mc:Choice>
  </mc:AlternateContent>
  <xr:revisionPtr revIDLastSave="0" documentId="13_ncr:1_{0A55598E-FB7F-7E44-A231-CD15C1E5A9E0}" xr6:coauthVersionLast="47" xr6:coauthVersionMax="47" xr10:uidLastSave="{00000000-0000-0000-0000-000000000000}"/>
  <bookViews>
    <workbookView xWindow="0" yWindow="760" windowWidth="30240" windowHeight="17720" activeTab="2" xr2:uid="{00000000-000D-0000-FFFF-FFFF00000000}"/>
  </bookViews>
  <sheets>
    <sheet name="F1V2" sheetId="9" r:id="rId1"/>
    <sheet name="PrecV2" sheetId="10" r:id="rId2"/>
    <sheet name="RecallV2" sheetId="11" r:id="rId3"/>
    <sheet name="F1" sheetId="6" r:id="rId4"/>
    <sheet name="Prec" sheetId="7" r:id="rId5"/>
    <sheet name="Recall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1" l="1"/>
  <c r="G31" i="11"/>
  <c r="F31" i="11"/>
  <c r="E31" i="11"/>
  <c r="J30" i="11"/>
  <c r="I30" i="11"/>
  <c r="H30" i="11"/>
  <c r="G30" i="11"/>
  <c r="B30" i="11"/>
  <c r="K28" i="11"/>
  <c r="K31" i="11" s="1"/>
  <c r="J28" i="11"/>
  <c r="J31" i="11" s="1"/>
  <c r="I28" i="11"/>
  <c r="I31" i="11" s="1"/>
  <c r="H28" i="11"/>
  <c r="H31" i="11" s="1"/>
  <c r="G28" i="11"/>
  <c r="F28" i="11"/>
  <c r="E28" i="11"/>
  <c r="D28" i="11"/>
  <c r="D31" i="11" s="1"/>
  <c r="C28" i="11"/>
  <c r="C31" i="11" s="1"/>
  <c r="B31" i="11"/>
  <c r="K27" i="11"/>
  <c r="K30" i="11" s="1"/>
  <c r="J27" i="11"/>
  <c r="I27" i="11"/>
  <c r="H27" i="11"/>
  <c r="G27" i="11"/>
  <c r="F27" i="11"/>
  <c r="F30" i="11" s="1"/>
  <c r="E27" i="11"/>
  <c r="E30" i="11" s="1"/>
  <c r="D27" i="11"/>
  <c r="D30" i="11" s="1"/>
  <c r="C27" i="11"/>
  <c r="C30" i="11" s="1"/>
  <c r="B27" i="11"/>
  <c r="K24" i="11"/>
  <c r="J24" i="11"/>
  <c r="I24" i="11"/>
  <c r="H24" i="11"/>
  <c r="G24" i="11"/>
  <c r="F24" i="11"/>
  <c r="E24" i="11"/>
  <c r="D24" i="11"/>
  <c r="C24" i="11"/>
  <c r="B24" i="11"/>
  <c r="K23" i="11"/>
  <c r="J23" i="11"/>
  <c r="I23" i="11"/>
  <c r="H23" i="11"/>
  <c r="G23" i="11"/>
  <c r="F23" i="11"/>
  <c r="E23" i="11"/>
  <c r="D23" i="11"/>
  <c r="C23" i="11"/>
  <c r="B23" i="11"/>
  <c r="K22" i="11"/>
  <c r="J22" i="11"/>
  <c r="I22" i="11"/>
  <c r="H22" i="11"/>
  <c r="G22" i="11"/>
  <c r="F22" i="11"/>
  <c r="E22" i="11"/>
  <c r="D22" i="11"/>
  <c r="C22" i="11"/>
  <c r="B22" i="11"/>
  <c r="K21" i="11"/>
  <c r="J21" i="11"/>
  <c r="I21" i="11"/>
  <c r="H21" i="11"/>
  <c r="G21" i="11"/>
  <c r="F21" i="11"/>
  <c r="E21" i="11"/>
  <c r="D21" i="11"/>
  <c r="C21" i="11"/>
  <c r="B21" i="11"/>
  <c r="K20" i="11"/>
  <c r="J20" i="11"/>
  <c r="I20" i="11"/>
  <c r="H20" i="11"/>
  <c r="G20" i="11"/>
  <c r="F20" i="11"/>
  <c r="E20" i="11"/>
  <c r="D20" i="11"/>
  <c r="C20" i="11"/>
  <c r="B20" i="11"/>
  <c r="K19" i="11"/>
  <c r="J19" i="11"/>
  <c r="I19" i="11"/>
  <c r="H19" i="11"/>
  <c r="G19" i="11"/>
  <c r="F19" i="11"/>
  <c r="E19" i="11"/>
  <c r="D19" i="11"/>
  <c r="C19" i="11"/>
  <c r="B19" i="11"/>
  <c r="K18" i="11"/>
  <c r="J18" i="11"/>
  <c r="I18" i="11"/>
  <c r="H18" i="11"/>
  <c r="G18" i="11"/>
  <c r="F18" i="11"/>
  <c r="E18" i="11"/>
  <c r="D18" i="11"/>
  <c r="C18" i="11"/>
  <c r="B18" i="11"/>
  <c r="K17" i="11"/>
  <c r="J17" i="11"/>
  <c r="I17" i="11"/>
  <c r="H17" i="11"/>
  <c r="G17" i="11"/>
  <c r="F17" i="11"/>
  <c r="E17" i="11"/>
  <c r="D17" i="11"/>
  <c r="C17" i="11"/>
  <c r="B17" i="11"/>
  <c r="K16" i="11"/>
  <c r="J16" i="11"/>
  <c r="I16" i="11"/>
  <c r="H16" i="11"/>
  <c r="G16" i="11"/>
  <c r="F16" i="11"/>
  <c r="E16" i="11"/>
  <c r="D16" i="11"/>
  <c r="C16" i="11"/>
  <c r="B16" i="11"/>
  <c r="K15" i="11"/>
  <c r="J15" i="11"/>
  <c r="I15" i="11"/>
  <c r="H15" i="11"/>
  <c r="G15" i="11"/>
  <c r="F15" i="11"/>
  <c r="E15" i="11"/>
  <c r="D15" i="11"/>
  <c r="C15" i="11"/>
  <c r="B15" i="11"/>
  <c r="B27" i="10"/>
  <c r="B30" i="10" s="1"/>
  <c r="K28" i="10"/>
  <c r="K31" i="10" s="1"/>
  <c r="J28" i="10"/>
  <c r="J31" i="10" s="1"/>
  <c r="I28" i="10"/>
  <c r="I31" i="10" s="1"/>
  <c r="H28" i="10"/>
  <c r="H31" i="10" s="1"/>
  <c r="G28" i="10"/>
  <c r="G31" i="10" s="1"/>
  <c r="F28" i="10"/>
  <c r="F31" i="10" s="1"/>
  <c r="E28" i="10"/>
  <c r="E31" i="10" s="1"/>
  <c r="D28" i="10"/>
  <c r="D31" i="10" s="1"/>
  <c r="C28" i="10"/>
  <c r="C31" i="10" s="1"/>
  <c r="B28" i="10"/>
  <c r="B31" i="10" s="1"/>
  <c r="K27" i="10"/>
  <c r="K30" i="10" s="1"/>
  <c r="J27" i="10"/>
  <c r="J30" i="10" s="1"/>
  <c r="I27" i="10"/>
  <c r="I30" i="10" s="1"/>
  <c r="H27" i="10"/>
  <c r="H30" i="10" s="1"/>
  <c r="G27" i="10"/>
  <c r="G30" i="10" s="1"/>
  <c r="F27" i="10"/>
  <c r="F30" i="10" s="1"/>
  <c r="E27" i="10"/>
  <c r="E30" i="10" s="1"/>
  <c r="D27" i="10"/>
  <c r="D30" i="10" s="1"/>
  <c r="C27" i="10"/>
  <c r="C30" i="10" s="1"/>
  <c r="K24" i="10"/>
  <c r="J24" i="10"/>
  <c r="I24" i="10"/>
  <c r="H24" i="10"/>
  <c r="G24" i="10"/>
  <c r="F24" i="10"/>
  <c r="E24" i="10"/>
  <c r="D24" i="10"/>
  <c r="C24" i="10"/>
  <c r="B24" i="10"/>
  <c r="K23" i="10"/>
  <c r="J23" i="10"/>
  <c r="I23" i="10"/>
  <c r="H23" i="10"/>
  <c r="G23" i="10"/>
  <c r="F23" i="10"/>
  <c r="E23" i="10"/>
  <c r="D23" i="10"/>
  <c r="C23" i="10"/>
  <c r="B23" i="10"/>
  <c r="K22" i="10"/>
  <c r="J22" i="10"/>
  <c r="I22" i="10"/>
  <c r="H22" i="10"/>
  <c r="G22" i="10"/>
  <c r="F22" i="10"/>
  <c r="E22" i="10"/>
  <c r="D22" i="10"/>
  <c r="C22" i="10"/>
  <c r="B22" i="10"/>
  <c r="K21" i="10"/>
  <c r="J21" i="10"/>
  <c r="I21" i="10"/>
  <c r="H21" i="10"/>
  <c r="G21" i="10"/>
  <c r="F21" i="10"/>
  <c r="E21" i="10"/>
  <c r="D21" i="10"/>
  <c r="C21" i="10"/>
  <c r="B21" i="10"/>
  <c r="K20" i="10"/>
  <c r="J20" i="10"/>
  <c r="I20" i="10"/>
  <c r="H20" i="10"/>
  <c r="G20" i="10"/>
  <c r="F20" i="10"/>
  <c r="E20" i="10"/>
  <c r="D20" i="10"/>
  <c r="C20" i="10"/>
  <c r="B20" i="10"/>
  <c r="K19" i="10"/>
  <c r="J19" i="10"/>
  <c r="I19" i="10"/>
  <c r="H19" i="10"/>
  <c r="G19" i="10"/>
  <c r="F19" i="10"/>
  <c r="E19" i="10"/>
  <c r="D19" i="10"/>
  <c r="C19" i="10"/>
  <c r="B19" i="10"/>
  <c r="K18" i="10"/>
  <c r="J18" i="10"/>
  <c r="I18" i="10"/>
  <c r="H18" i="10"/>
  <c r="G18" i="10"/>
  <c r="F18" i="10"/>
  <c r="E18" i="10"/>
  <c r="D18" i="10"/>
  <c r="C18" i="10"/>
  <c r="B18" i="10"/>
  <c r="K17" i="10"/>
  <c r="J17" i="10"/>
  <c r="I17" i="10"/>
  <c r="H17" i="10"/>
  <c r="G17" i="10"/>
  <c r="F17" i="10"/>
  <c r="E17" i="10"/>
  <c r="D17" i="10"/>
  <c r="C17" i="10"/>
  <c r="B17" i="10"/>
  <c r="K16" i="10"/>
  <c r="J16" i="10"/>
  <c r="I16" i="10"/>
  <c r="H16" i="10"/>
  <c r="G16" i="10"/>
  <c r="F16" i="10"/>
  <c r="E16" i="10"/>
  <c r="D16" i="10"/>
  <c r="C16" i="10"/>
  <c r="B16" i="10"/>
  <c r="K15" i="10"/>
  <c r="J15" i="10"/>
  <c r="I15" i="10"/>
  <c r="H15" i="10"/>
  <c r="G15" i="10"/>
  <c r="F15" i="10"/>
  <c r="E15" i="10"/>
  <c r="D15" i="10"/>
  <c r="C15" i="10"/>
  <c r="B15" i="10"/>
  <c r="E30" i="9"/>
  <c r="C28" i="9"/>
  <c r="C31" i="9" s="1"/>
  <c r="D28" i="9"/>
  <c r="D31" i="9" s="1"/>
  <c r="E28" i="9"/>
  <c r="E31" i="9" s="1"/>
  <c r="F28" i="9"/>
  <c r="F31" i="9" s="1"/>
  <c r="G28" i="9"/>
  <c r="G31" i="9" s="1"/>
  <c r="H28" i="9"/>
  <c r="H31" i="9" s="1"/>
  <c r="I28" i="9"/>
  <c r="I31" i="9" s="1"/>
  <c r="J28" i="9"/>
  <c r="J31" i="9" s="1"/>
  <c r="K28" i="9"/>
  <c r="K31" i="9" s="1"/>
  <c r="B28" i="9"/>
  <c r="B31" i="9" s="1"/>
  <c r="C27" i="9"/>
  <c r="C30" i="9" s="1"/>
  <c r="D27" i="9"/>
  <c r="D30" i="9" s="1"/>
  <c r="E27" i="9"/>
  <c r="F27" i="9"/>
  <c r="F30" i="9" s="1"/>
  <c r="G27" i="9"/>
  <c r="G30" i="9" s="1"/>
  <c r="H27" i="9"/>
  <c r="H30" i="9" s="1"/>
  <c r="I27" i="9"/>
  <c r="I30" i="9" s="1"/>
  <c r="J27" i="9"/>
  <c r="J30" i="9" s="1"/>
  <c r="K27" i="9"/>
  <c r="K30" i="9" s="1"/>
  <c r="B27" i="9"/>
  <c r="B30" i="9" s="1"/>
  <c r="C16" i="9"/>
  <c r="D16" i="9"/>
  <c r="E16" i="9"/>
  <c r="F16" i="9"/>
  <c r="G16" i="9"/>
  <c r="H16" i="9"/>
  <c r="I16" i="9"/>
  <c r="J16" i="9"/>
  <c r="K16" i="9"/>
  <c r="C17" i="9"/>
  <c r="D17" i="9"/>
  <c r="E17" i="9"/>
  <c r="F17" i="9"/>
  <c r="G17" i="9"/>
  <c r="H17" i="9"/>
  <c r="I17" i="9"/>
  <c r="J17" i="9"/>
  <c r="K17" i="9"/>
  <c r="C18" i="9"/>
  <c r="D18" i="9"/>
  <c r="E18" i="9"/>
  <c r="F18" i="9"/>
  <c r="G18" i="9"/>
  <c r="H18" i="9"/>
  <c r="I18" i="9"/>
  <c r="J18" i="9"/>
  <c r="K18" i="9"/>
  <c r="C19" i="9"/>
  <c r="L6" i="9" s="1"/>
  <c r="D19" i="9"/>
  <c r="E19" i="9"/>
  <c r="F19" i="9"/>
  <c r="G19" i="9"/>
  <c r="H19" i="9"/>
  <c r="I19" i="9"/>
  <c r="J19" i="9"/>
  <c r="K19" i="9"/>
  <c r="C20" i="9"/>
  <c r="D20" i="9"/>
  <c r="E20" i="9"/>
  <c r="F20" i="9"/>
  <c r="G20" i="9"/>
  <c r="H20" i="9"/>
  <c r="I20" i="9"/>
  <c r="J20" i="9"/>
  <c r="L7" i="9" s="1"/>
  <c r="K20" i="9"/>
  <c r="C21" i="9"/>
  <c r="D21" i="9"/>
  <c r="E21" i="9"/>
  <c r="F21" i="9"/>
  <c r="G21" i="9"/>
  <c r="H21" i="9"/>
  <c r="I21" i="9"/>
  <c r="J21" i="9"/>
  <c r="K21" i="9"/>
  <c r="C22" i="9"/>
  <c r="D22" i="9"/>
  <c r="E22" i="9"/>
  <c r="F22" i="9"/>
  <c r="G22" i="9"/>
  <c r="H22" i="9"/>
  <c r="I22" i="9"/>
  <c r="J22" i="9"/>
  <c r="K22" i="9"/>
  <c r="C23" i="9"/>
  <c r="D23" i="9"/>
  <c r="E23" i="9"/>
  <c r="F23" i="9"/>
  <c r="G23" i="9"/>
  <c r="H23" i="9"/>
  <c r="I23" i="9"/>
  <c r="J23" i="9"/>
  <c r="K23" i="9"/>
  <c r="C24" i="9"/>
  <c r="D24" i="9"/>
  <c r="E24" i="9"/>
  <c r="F24" i="9"/>
  <c r="G24" i="9"/>
  <c r="H24" i="9"/>
  <c r="I24" i="9"/>
  <c r="J24" i="9"/>
  <c r="K24" i="9"/>
  <c r="C15" i="9"/>
  <c r="D15" i="9"/>
  <c r="E15" i="9"/>
  <c r="F15" i="9"/>
  <c r="G15" i="9"/>
  <c r="H15" i="9"/>
  <c r="I15" i="9"/>
  <c r="J15" i="9"/>
  <c r="K15" i="9"/>
  <c r="B16" i="9"/>
  <c r="L3" i="9" s="1"/>
  <c r="B17" i="9"/>
  <c r="L4" i="9" s="1"/>
  <c r="B18" i="9"/>
  <c r="L5" i="9" s="1"/>
  <c r="B19" i="9"/>
  <c r="B20" i="9"/>
  <c r="B21" i="9"/>
  <c r="L8" i="9" s="1"/>
  <c r="B22" i="9"/>
  <c r="L9" i="9" s="1"/>
  <c r="B23" i="9"/>
  <c r="L10" i="9" s="1"/>
  <c r="B24" i="9"/>
  <c r="L11" i="9" s="1"/>
  <c r="B15" i="9"/>
  <c r="L2" i="9" s="1"/>
  <c r="K26" i="8"/>
  <c r="J26" i="8"/>
  <c r="I26" i="8"/>
  <c r="H26" i="8"/>
  <c r="G26" i="8"/>
  <c r="F26" i="8"/>
  <c r="E26" i="8"/>
  <c r="D26" i="8"/>
  <c r="C26" i="8"/>
  <c r="B26" i="8"/>
  <c r="K25" i="8"/>
  <c r="J25" i="8"/>
  <c r="I25" i="8"/>
  <c r="H25" i="8"/>
  <c r="G25" i="8"/>
  <c r="F25" i="8"/>
  <c r="E25" i="8"/>
  <c r="D25" i="8"/>
  <c r="C25" i="8"/>
  <c r="B25" i="8"/>
  <c r="K24" i="8"/>
  <c r="J24" i="8"/>
  <c r="I24" i="8"/>
  <c r="H24" i="8"/>
  <c r="G24" i="8"/>
  <c r="F24" i="8"/>
  <c r="E24" i="8"/>
  <c r="D24" i="8"/>
  <c r="C24" i="8"/>
  <c r="B24" i="8"/>
  <c r="K23" i="8"/>
  <c r="J23" i="8"/>
  <c r="I23" i="8"/>
  <c r="H23" i="8"/>
  <c r="G23" i="8"/>
  <c r="F23" i="8"/>
  <c r="E23" i="8"/>
  <c r="D23" i="8"/>
  <c r="C23" i="8"/>
  <c r="B23" i="8"/>
  <c r="K22" i="8"/>
  <c r="J22" i="8"/>
  <c r="I22" i="8"/>
  <c r="H22" i="8"/>
  <c r="G22" i="8"/>
  <c r="F22" i="8"/>
  <c r="E22" i="8"/>
  <c r="D22" i="8"/>
  <c r="C22" i="8"/>
  <c r="B22" i="8"/>
  <c r="K21" i="8"/>
  <c r="J21" i="8"/>
  <c r="I21" i="8"/>
  <c r="H21" i="8"/>
  <c r="G21" i="8"/>
  <c r="F21" i="8"/>
  <c r="E21" i="8"/>
  <c r="D21" i="8"/>
  <c r="C21" i="8"/>
  <c r="B21" i="8"/>
  <c r="K20" i="8"/>
  <c r="J20" i="8"/>
  <c r="I20" i="8"/>
  <c r="H20" i="8"/>
  <c r="G20" i="8"/>
  <c r="F20" i="8"/>
  <c r="E20" i="8"/>
  <c r="D20" i="8"/>
  <c r="C20" i="8"/>
  <c r="B20" i="8"/>
  <c r="K19" i="8"/>
  <c r="J19" i="8"/>
  <c r="I19" i="8"/>
  <c r="H19" i="8"/>
  <c r="G19" i="8"/>
  <c r="F19" i="8"/>
  <c r="E19" i="8"/>
  <c r="D19" i="8"/>
  <c r="C19" i="8"/>
  <c r="B19" i="8"/>
  <c r="K18" i="8"/>
  <c r="J18" i="8"/>
  <c r="I18" i="8"/>
  <c r="H18" i="8"/>
  <c r="G18" i="8"/>
  <c r="F18" i="8"/>
  <c r="E18" i="8"/>
  <c r="D18" i="8"/>
  <c r="C18" i="8"/>
  <c r="B18" i="8"/>
  <c r="K17" i="8"/>
  <c r="J17" i="8"/>
  <c r="I17" i="8"/>
  <c r="H17" i="8"/>
  <c r="G17" i="8"/>
  <c r="F17" i="8"/>
  <c r="E17" i="8"/>
  <c r="D17" i="8"/>
  <c r="C17" i="8"/>
  <c r="B17" i="8"/>
  <c r="K13" i="8"/>
  <c r="J13" i="8"/>
  <c r="I13" i="8"/>
  <c r="H13" i="8"/>
  <c r="G13" i="8"/>
  <c r="F13" i="8"/>
  <c r="E13" i="8"/>
  <c r="D13" i="8"/>
  <c r="C13" i="8"/>
  <c r="B13" i="8"/>
  <c r="K26" i="7"/>
  <c r="J26" i="7"/>
  <c r="I26" i="7"/>
  <c r="H26" i="7"/>
  <c r="G26" i="7"/>
  <c r="F26" i="7"/>
  <c r="E26" i="7"/>
  <c r="D26" i="7"/>
  <c r="C26" i="7"/>
  <c r="B26" i="7"/>
  <c r="K25" i="7"/>
  <c r="J25" i="7"/>
  <c r="I25" i="7"/>
  <c r="H25" i="7"/>
  <c r="G25" i="7"/>
  <c r="F25" i="7"/>
  <c r="E25" i="7"/>
  <c r="D25" i="7"/>
  <c r="C25" i="7"/>
  <c r="B25" i="7"/>
  <c r="K24" i="7"/>
  <c r="J24" i="7"/>
  <c r="I24" i="7"/>
  <c r="H24" i="7"/>
  <c r="G24" i="7"/>
  <c r="F24" i="7"/>
  <c r="E24" i="7"/>
  <c r="D24" i="7"/>
  <c r="C24" i="7"/>
  <c r="B24" i="7"/>
  <c r="K23" i="7"/>
  <c r="J23" i="7"/>
  <c r="I23" i="7"/>
  <c r="H23" i="7"/>
  <c r="G23" i="7"/>
  <c r="F23" i="7"/>
  <c r="E23" i="7"/>
  <c r="D23" i="7"/>
  <c r="C23" i="7"/>
  <c r="B23" i="7"/>
  <c r="K22" i="7"/>
  <c r="J22" i="7"/>
  <c r="I22" i="7"/>
  <c r="H22" i="7"/>
  <c r="G22" i="7"/>
  <c r="F22" i="7"/>
  <c r="E22" i="7"/>
  <c r="D22" i="7"/>
  <c r="C22" i="7"/>
  <c r="B22" i="7"/>
  <c r="K21" i="7"/>
  <c r="J21" i="7"/>
  <c r="I21" i="7"/>
  <c r="H21" i="7"/>
  <c r="G21" i="7"/>
  <c r="F21" i="7"/>
  <c r="E21" i="7"/>
  <c r="D21" i="7"/>
  <c r="C21" i="7"/>
  <c r="B21" i="7"/>
  <c r="K20" i="7"/>
  <c r="J20" i="7"/>
  <c r="I20" i="7"/>
  <c r="H20" i="7"/>
  <c r="G20" i="7"/>
  <c r="F20" i="7"/>
  <c r="E20" i="7"/>
  <c r="D20" i="7"/>
  <c r="C20" i="7"/>
  <c r="B20" i="7"/>
  <c r="K19" i="7"/>
  <c r="J19" i="7"/>
  <c r="I19" i="7"/>
  <c r="H19" i="7"/>
  <c r="G19" i="7"/>
  <c r="F19" i="7"/>
  <c r="E19" i="7"/>
  <c r="D19" i="7"/>
  <c r="C19" i="7"/>
  <c r="B19" i="7"/>
  <c r="K18" i="7"/>
  <c r="J18" i="7"/>
  <c r="I18" i="7"/>
  <c r="H18" i="7"/>
  <c r="G18" i="7"/>
  <c r="F18" i="7"/>
  <c r="E18" i="7"/>
  <c r="D18" i="7"/>
  <c r="C18" i="7"/>
  <c r="B18" i="7"/>
  <c r="K17" i="7"/>
  <c r="J17" i="7"/>
  <c r="I17" i="7"/>
  <c r="H17" i="7"/>
  <c r="G17" i="7"/>
  <c r="F17" i="7"/>
  <c r="E17" i="7"/>
  <c r="D17" i="7"/>
  <c r="C17" i="7"/>
  <c r="B17" i="7"/>
  <c r="K13" i="7"/>
  <c r="J13" i="7"/>
  <c r="I13" i="7"/>
  <c r="H13" i="7"/>
  <c r="G13" i="7"/>
  <c r="F13" i="7"/>
  <c r="E13" i="7"/>
  <c r="D13" i="7"/>
  <c r="C13" i="7"/>
  <c r="B13" i="7"/>
  <c r="K26" i="6"/>
  <c r="J26" i="6"/>
  <c r="I26" i="6"/>
  <c r="H26" i="6"/>
  <c r="G26" i="6"/>
  <c r="F26" i="6"/>
  <c r="E26" i="6"/>
  <c r="D26" i="6"/>
  <c r="C26" i="6"/>
  <c r="B26" i="6"/>
  <c r="K25" i="6"/>
  <c r="J25" i="6"/>
  <c r="I25" i="6"/>
  <c r="H25" i="6"/>
  <c r="G25" i="6"/>
  <c r="F25" i="6"/>
  <c r="E25" i="6"/>
  <c r="D25" i="6"/>
  <c r="C25" i="6"/>
  <c r="B25" i="6"/>
  <c r="K24" i="6"/>
  <c r="J24" i="6"/>
  <c r="I24" i="6"/>
  <c r="H24" i="6"/>
  <c r="G24" i="6"/>
  <c r="F24" i="6"/>
  <c r="E24" i="6"/>
  <c r="D24" i="6"/>
  <c r="C24" i="6"/>
  <c r="B24" i="6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20" i="6"/>
  <c r="J20" i="6"/>
  <c r="I20" i="6"/>
  <c r="H20" i="6"/>
  <c r="G20" i="6"/>
  <c r="F20" i="6"/>
  <c r="E20" i="6"/>
  <c r="D20" i="6"/>
  <c r="C20" i="6"/>
  <c r="B20" i="6"/>
  <c r="K19" i="6"/>
  <c r="J19" i="6"/>
  <c r="I19" i="6"/>
  <c r="H19" i="6"/>
  <c r="G19" i="6"/>
  <c r="F19" i="6"/>
  <c r="E19" i="6"/>
  <c r="D19" i="6"/>
  <c r="C19" i="6"/>
  <c r="B19" i="6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3" i="6"/>
  <c r="J13" i="6"/>
  <c r="I13" i="6"/>
  <c r="H13" i="6"/>
  <c r="G13" i="6"/>
  <c r="F13" i="6"/>
  <c r="E13" i="6"/>
  <c r="D13" i="6"/>
  <c r="C13" i="6"/>
  <c r="B13" i="6"/>
  <c r="L4" i="10" l="1"/>
  <c r="L7" i="10"/>
  <c r="L2" i="10"/>
  <c r="L3" i="10"/>
  <c r="L9" i="10"/>
  <c r="L10" i="10"/>
  <c r="L11" i="10"/>
  <c r="L6" i="10"/>
  <c r="L8" i="10"/>
  <c r="L5" i="10"/>
  <c r="L27" i="9"/>
  <c r="L28" i="9"/>
  <c r="L27" i="10" l="1"/>
  <c r="L28" i="10"/>
</calcChain>
</file>

<file path=xl/sharedStrings.xml><?xml version="1.0" encoding="utf-8"?>
<sst xmlns="http://schemas.openxmlformats.org/spreadsheetml/2006/main" count="213" uniqueCount="40">
  <si>
    <t>F1</t>
  </si>
  <si>
    <t>行标签</t>
  </si>
  <si>
    <t>ConvTimeNet</t>
  </si>
  <si>
    <t>FormerTime</t>
  </si>
  <si>
    <t>InceptionTime</t>
  </si>
  <si>
    <t>IndividualTDE</t>
  </si>
  <si>
    <t>KNeighborsTimeSeries</t>
  </si>
  <si>
    <t>ResNet</t>
  </si>
  <si>
    <t>MambaSL</t>
  </si>
  <si>
    <t>PatchTST</t>
  </si>
  <si>
    <t>TimesNet</t>
  </si>
  <si>
    <t>Ours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</si>
  <si>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</si>
  <si>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</si>
  <si>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</si>
  <si>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</si>
  <si>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</si>
  <si>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</si>
  <si>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</si>
  <si>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</si>
  <si>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</si>
  <si>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</si>
  <si>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Avg Rank</t>
  </si>
  <si>
    <t>Rank</t>
  </si>
  <si>
    <t>Prec</t>
  </si>
  <si>
    <t>Recall</t>
  </si>
  <si>
    <t>RANK</t>
    <phoneticPr fontId="7" type="noConversion"/>
  </si>
  <si>
    <t>Ours</t>
    <phoneticPr fontId="7" type="noConversion"/>
  </si>
  <si>
    <t>AR</t>
  </si>
  <si>
    <t>AR</t>
    <phoneticPr fontId="7" type="noConversion"/>
  </si>
  <si>
    <t>KNeighborsTimeSeries</t>
    <phoneticPr fontId="7" type="noConversion"/>
  </si>
  <si>
    <t>TDE</t>
    <phoneticPr fontId="7" type="noConversion"/>
  </si>
  <si>
    <t>best</t>
    <phoneticPr fontId="7" type="noConversion"/>
  </si>
  <si>
    <t>second_best</t>
    <phoneticPr fontId="7" type="noConversion"/>
  </si>
  <si>
    <t>best(Latex)</t>
    <phoneticPr fontId="7" type="noConversion"/>
  </si>
  <si>
    <t>second_best(Latex)</t>
    <phoneticPr fontId="7" type="noConversion"/>
  </si>
  <si>
    <t>行标签F1</t>
    <phoneticPr fontId="7" type="noConversion"/>
  </si>
  <si>
    <t>行标签Prec</t>
    <phoneticPr fontId="7" type="noConversion"/>
  </si>
  <si>
    <t>行标签Recall</t>
    <phoneticPr fontId="7" type="noConversion"/>
  </si>
  <si>
    <t>1NN-DTW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</si>
</sst>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0" formatCode="0.0000"/>
    <numFmt numFmtId="185" formatCode="0.0000_);[Red]\(0.0000\)"/>
  </numFmts>
  <fonts count="10">
    <font>
      <sz val="11"/>
      <color theme="1"/>
      <name val="宋体"/>
      <charset val="134"/>
      <scheme val="minor"/>
    </font>
    <font>
      <b/>
      <sz val="12"/>
      <color rgb="FF000000"/>
      <name val="等线"/>
      <family val="4"/>
      <charset val="134"/>
    </font>
    <font>
      <b/>
      <sz val="11"/>
      <color theme="1"/>
      <name val="宋体"/>
      <family val="3"/>
      <charset val="134"/>
      <scheme val="minor"/>
    </font>
    <font>
      <sz val="12"/>
      <color rgb="FF000000"/>
      <name val="等线"/>
      <family val="4"/>
      <charset val="134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4"/>
      <charset val="134"/>
      <scheme val="minor"/>
    </font>
    <font>
      <b/>
      <sz val="12"/>
      <color rgb="FF00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4"/>
        <bgColor rgb="FFD9E1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91AADF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180" fontId="4" fillId="0" borderId="0" xfId="0" applyNumberFormat="1" applyFont="1" applyFill="1" applyAlignment="1">
      <alignment vertical="center"/>
    </xf>
    <xf numFmtId="180" fontId="0" fillId="0" borderId="0" xfId="0" applyNumberFormat="1">
      <alignment vertical="center"/>
    </xf>
    <xf numFmtId="180" fontId="5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185" fontId="0" fillId="0" borderId="0" xfId="0" applyNumberFormat="1">
      <alignment vertical="center"/>
    </xf>
    <xf numFmtId="185" fontId="0" fillId="0" borderId="0" xfId="0" applyNumberFormat="1" applyAlignment="1">
      <alignment horizontal="left" vertical="top"/>
    </xf>
    <xf numFmtId="18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85" fontId="8" fillId="4" borderId="3" xfId="0" applyNumberFormat="1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85" fontId="8" fillId="4" borderId="0" xfId="0" applyNumberFormat="1" applyFont="1" applyFill="1" applyBorder="1" applyAlignment="1">
      <alignment horizontal="left" vertical="top"/>
    </xf>
    <xf numFmtId="185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185" fontId="9" fillId="5" borderId="4" xfId="0" applyNumberFormat="1" applyFont="1" applyFill="1" applyBorder="1" applyAlignment="1">
      <alignment horizontal="left" vertical="top"/>
    </xf>
    <xf numFmtId="185" fontId="9" fillId="5" borderId="0" xfId="0" applyNumberFormat="1" applyFont="1" applyFill="1" applyAlignment="1">
      <alignment horizontal="left" vertical="top"/>
    </xf>
    <xf numFmtId="0" fontId="5" fillId="0" borderId="0" xfId="0" applyFont="1">
      <alignment vertical="center"/>
    </xf>
    <xf numFmtId="185" fontId="5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443C-455B-9545-B90C-BFE82D40E837}">
  <dimension ref="A1:L31"/>
  <sheetViews>
    <sheetView zoomScaleNormal="120" workbookViewId="0">
      <pane ySplit="1" topLeftCell="A2" activePane="bottomLeft" state="frozen"/>
      <selection pane="bottomLeft" activeCell="N1" sqref="N1"/>
    </sheetView>
  </sheetViews>
  <sheetFormatPr baseColWidth="10" defaultColWidth="11" defaultRowHeight="14"/>
  <cols>
    <col min="1" max="1" width="25.33203125" customWidth="1"/>
    <col min="2" max="2" width="23" customWidth="1"/>
    <col min="3" max="3" width="12.6640625" customWidth="1"/>
    <col min="4" max="4" width="15" customWidth="1"/>
    <col min="5" max="5" width="14.6640625" customWidth="1"/>
    <col min="6" max="6" width="10.5" customWidth="1"/>
    <col min="7" max="7" width="8.6640625" customWidth="1"/>
    <col min="8" max="8" width="11" customWidth="1"/>
    <col min="9" max="9" width="10.5" customWidth="1"/>
    <col min="10" max="10" width="10.33203125" customWidth="1"/>
    <col min="11" max="11" width="17.33203125" customWidth="1"/>
  </cols>
  <sheetData>
    <row r="1" spans="1:12" ht="15">
      <c r="A1" s="13" t="s">
        <v>36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6" t="s">
        <v>29</v>
      </c>
    </row>
    <row r="2" spans="1:12">
      <c r="A2" s="10" t="s">
        <v>4</v>
      </c>
      <c r="B2" s="10">
        <v>0.27726616081579902</v>
      </c>
      <c r="C2" s="10">
        <v>0.679305762375366</v>
      </c>
      <c r="D2" s="10">
        <v>0.747910387887329</v>
      </c>
      <c r="E2" s="10">
        <v>0.65077293955489302</v>
      </c>
      <c r="F2" s="10">
        <v>0.98757895689331798</v>
      </c>
      <c r="G2" s="10">
        <v>0.79933603850433399</v>
      </c>
      <c r="H2" s="10">
        <v>0.99672518743640803</v>
      </c>
      <c r="I2" s="10">
        <v>0.82085908046989298</v>
      </c>
      <c r="J2" s="10">
        <v>0.49713928712129002</v>
      </c>
      <c r="K2" s="10">
        <v>0.90144669905706698</v>
      </c>
      <c r="L2">
        <f>AVERAGE(B15:K15)</f>
        <v>3.8</v>
      </c>
    </row>
    <row r="3" spans="1:12">
      <c r="A3" s="10" t="s">
        <v>5</v>
      </c>
      <c r="B3" s="10">
        <v>0.220070852704081</v>
      </c>
      <c r="C3" s="10">
        <v>0.499042570250819</v>
      </c>
      <c r="D3" s="10">
        <v>0.68895604999776605</v>
      </c>
      <c r="E3" s="10">
        <v>7.0740688970944904E-2</v>
      </c>
      <c r="F3" s="10">
        <v>0.44004411394847498</v>
      </c>
      <c r="G3" s="10">
        <v>0.98128619237566195</v>
      </c>
      <c r="H3" s="10">
        <v>0.25857529684943198</v>
      </c>
      <c r="I3" s="10">
        <v>0.68372430620975</v>
      </c>
      <c r="J3" s="10">
        <v>0.55045160528206105</v>
      </c>
      <c r="K3" s="10">
        <v>0.71743925539580899</v>
      </c>
      <c r="L3">
        <f t="shared" ref="L3:L11" si="0">AVERAGE(B16:K16)</f>
        <v>8.1999999999999993</v>
      </c>
    </row>
    <row r="4" spans="1:12">
      <c r="A4" s="17" t="s">
        <v>30</v>
      </c>
      <c r="B4" s="10">
        <v>0.316310412369391</v>
      </c>
      <c r="C4" s="10">
        <v>0.52862869114214395</v>
      </c>
      <c r="D4" s="10">
        <v>0.64234461054287895</v>
      </c>
      <c r="E4" s="10">
        <v>0.592338630774496</v>
      </c>
      <c r="F4" s="10">
        <v>0.95162343092523405</v>
      </c>
      <c r="G4" s="10">
        <v>0.68968892093388801</v>
      </c>
      <c r="H4" s="10">
        <v>0.96278925837408202</v>
      </c>
      <c r="I4" s="10">
        <v>0.76813060178000503</v>
      </c>
      <c r="J4" s="10">
        <v>0.53876076687968799</v>
      </c>
      <c r="K4" s="10">
        <v>0.90221737422747295</v>
      </c>
      <c r="L4">
        <f t="shared" si="0"/>
        <v>6.6</v>
      </c>
    </row>
    <row r="5" spans="1:12">
      <c r="A5" s="10" t="s">
        <v>7</v>
      </c>
      <c r="B5" s="10">
        <v>0.26663132439257697</v>
      </c>
      <c r="C5" s="10">
        <v>0.52730410489457502</v>
      </c>
      <c r="D5" s="10">
        <v>0.74571820752081197</v>
      </c>
      <c r="E5" s="10">
        <v>0.572111811228044</v>
      </c>
      <c r="F5" s="10">
        <v>0.98168388653718797</v>
      </c>
      <c r="G5" s="10">
        <v>0.80058105132783797</v>
      </c>
      <c r="H5" s="10">
        <v>0.98753574790492404</v>
      </c>
      <c r="I5" s="10">
        <v>0.82445357933125196</v>
      </c>
      <c r="J5" s="10">
        <v>0.46831909187677601</v>
      </c>
      <c r="K5" s="10">
        <v>0.753835175567792</v>
      </c>
      <c r="L5">
        <f t="shared" si="0"/>
        <v>6.1</v>
      </c>
    </row>
    <row r="6" spans="1:12">
      <c r="A6" s="11" t="s">
        <v>2</v>
      </c>
      <c r="B6" s="11">
        <v>0.29073577227273517</v>
      </c>
      <c r="C6" s="11">
        <v>0.57067500892985179</v>
      </c>
      <c r="D6" s="11">
        <v>0.72493891288925438</v>
      </c>
      <c r="E6" s="11">
        <v>0.2115471937479696</v>
      </c>
      <c r="F6" s="11">
        <v>0.98108378759964088</v>
      </c>
      <c r="G6" s="11">
        <v>0.82865084752870888</v>
      </c>
      <c r="H6" s="11">
        <v>0.99172665819929762</v>
      </c>
      <c r="I6" s="11">
        <v>0.81740201121557376</v>
      </c>
      <c r="J6" s="11">
        <v>0.58096751010673875</v>
      </c>
      <c r="K6" s="11">
        <v>0.81885013476078006</v>
      </c>
      <c r="L6">
        <f t="shared" si="0"/>
        <v>5.4</v>
      </c>
    </row>
    <row r="7" spans="1:12">
      <c r="A7" s="11" t="s">
        <v>3</v>
      </c>
      <c r="B7" s="11">
        <v>0.1824183605561138</v>
      </c>
      <c r="C7" s="11">
        <v>0.65308690971068639</v>
      </c>
      <c r="D7" s="11">
        <v>0.72135542912939543</v>
      </c>
      <c r="E7" s="11">
        <v>0.17486688598322536</v>
      </c>
      <c r="F7" s="11">
        <v>0.9789362922646706</v>
      </c>
      <c r="G7" s="11">
        <v>0.85454653626700916</v>
      </c>
      <c r="H7" s="11">
        <v>0.9828727290650896</v>
      </c>
      <c r="I7" s="11">
        <v>0.74408063968173299</v>
      </c>
      <c r="J7" s="11">
        <v>0.48895707716201581</v>
      </c>
      <c r="K7" s="11">
        <v>0.88932688684096683</v>
      </c>
      <c r="L7">
        <f t="shared" si="0"/>
        <v>6.9</v>
      </c>
    </row>
    <row r="8" spans="1:12">
      <c r="A8" s="12" t="s">
        <v>8</v>
      </c>
      <c r="B8" s="11">
        <v>0.25741847555931158</v>
      </c>
      <c r="C8" s="11">
        <v>0.65062539590505419</v>
      </c>
      <c r="D8" s="11">
        <v>0.7709838526833005</v>
      </c>
      <c r="E8" s="11">
        <v>0.37103606819473012</v>
      </c>
      <c r="F8" s="11">
        <v>0.97472720206864272</v>
      </c>
      <c r="G8" s="11">
        <v>0.76596770386532376</v>
      </c>
      <c r="H8" s="11">
        <v>0.99127503155808649</v>
      </c>
      <c r="I8" s="11">
        <v>0.87724935912482116</v>
      </c>
      <c r="J8" s="11">
        <v>0.56756598131930336</v>
      </c>
      <c r="K8" s="11">
        <v>0.91143019360755062</v>
      </c>
      <c r="L8">
        <f t="shared" si="0"/>
        <v>4.7</v>
      </c>
    </row>
    <row r="9" spans="1:12">
      <c r="A9" s="12" t="s">
        <v>9</v>
      </c>
      <c r="B9" s="11">
        <v>0.22097658784245677</v>
      </c>
      <c r="C9" s="11">
        <v>0.66462362383851181</v>
      </c>
      <c r="D9" s="11">
        <v>0.65349938328817647</v>
      </c>
      <c r="E9" s="11">
        <v>0.25541623005343861</v>
      </c>
      <c r="F9" s="11">
        <v>0.952219721923519</v>
      </c>
      <c r="G9" s="11">
        <v>0.85602225415079225</v>
      </c>
      <c r="H9" s="11">
        <v>0.97516894132790788</v>
      </c>
      <c r="I9" s="11">
        <v>0.83487624687807682</v>
      </c>
      <c r="J9" s="11">
        <v>0.50383186996268703</v>
      </c>
      <c r="K9" s="11">
        <v>0.84387281190927221</v>
      </c>
      <c r="L9">
        <f t="shared" si="0"/>
        <v>6.3</v>
      </c>
    </row>
    <row r="10" spans="1:12">
      <c r="A10" s="12" t="s">
        <v>10</v>
      </c>
      <c r="B10" s="11">
        <v>0.25543738512461739</v>
      </c>
      <c r="C10" s="11">
        <v>0.65972467554470204</v>
      </c>
      <c r="D10" s="11">
        <v>0.7327839683101135</v>
      </c>
      <c r="E10" s="11">
        <v>0.30413821619754877</v>
      </c>
      <c r="F10" s="11">
        <v>0.97677133604792732</v>
      </c>
      <c r="G10" s="11">
        <v>0.83917072548919192</v>
      </c>
      <c r="H10" s="11">
        <v>0.98879723839801792</v>
      </c>
      <c r="I10" s="11">
        <v>0.90433576097473178</v>
      </c>
      <c r="J10" s="11">
        <v>0.54785946709863853</v>
      </c>
      <c r="K10" s="11">
        <v>0.86900955914904876</v>
      </c>
      <c r="L10">
        <f t="shared" si="0"/>
        <v>5</v>
      </c>
    </row>
    <row r="11" spans="1:12">
      <c r="A11" s="15" t="s">
        <v>27</v>
      </c>
      <c r="B11" s="11">
        <v>0.30624058797410098</v>
      </c>
      <c r="C11" s="11">
        <v>0.68185144713865298</v>
      </c>
      <c r="D11" s="11">
        <v>0.78178693490756501</v>
      </c>
      <c r="E11" s="11">
        <v>0.3957097272176</v>
      </c>
      <c r="F11" s="11">
        <v>0.98279971823907286</v>
      </c>
      <c r="G11" s="11">
        <v>0.83624225870210134</v>
      </c>
      <c r="H11" s="11">
        <v>0.99645590485548663</v>
      </c>
      <c r="I11" s="11">
        <v>0.9241651782054463</v>
      </c>
      <c r="J11" s="11">
        <v>0.58177143034170797</v>
      </c>
      <c r="K11" s="11">
        <v>0.91932571995523382</v>
      </c>
      <c r="L11">
        <f>AVERAGE(B24:K24)</f>
        <v>2</v>
      </c>
    </row>
    <row r="14" spans="1:12">
      <c r="A14" s="14" t="s">
        <v>26</v>
      </c>
    </row>
    <row r="15" spans="1:12">
      <c r="A15" s="10" t="s">
        <v>4</v>
      </c>
      <c r="B15">
        <f>RANK(B2,B$2:B$11)</f>
        <v>4</v>
      </c>
      <c r="C15">
        <f t="shared" ref="C15:K15" si="1">RANK(C2,C$2:C$11)</f>
        <v>2</v>
      </c>
      <c r="D15">
        <f t="shared" si="1"/>
        <v>3</v>
      </c>
      <c r="E15">
        <f t="shared" si="1"/>
        <v>1</v>
      </c>
      <c r="F15">
        <f t="shared" si="1"/>
        <v>1</v>
      </c>
      <c r="G15">
        <f t="shared" si="1"/>
        <v>8</v>
      </c>
      <c r="H15">
        <f t="shared" si="1"/>
        <v>1</v>
      </c>
      <c r="I15">
        <f t="shared" si="1"/>
        <v>6</v>
      </c>
      <c r="J15">
        <f t="shared" si="1"/>
        <v>8</v>
      </c>
      <c r="K15">
        <f t="shared" si="1"/>
        <v>4</v>
      </c>
    </row>
    <row r="16" spans="1:12">
      <c r="A16" s="10" t="s">
        <v>5</v>
      </c>
      <c r="B16">
        <f t="shared" ref="B16:K24" si="2">RANK(B3,B$2:B$11)</f>
        <v>9</v>
      </c>
      <c r="C16">
        <f t="shared" si="2"/>
        <v>10</v>
      </c>
      <c r="D16">
        <f t="shared" si="2"/>
        <v>8</v>
      </c>
      <c r="E16">
        <f t="shared" si="2"/>
        <v>10</v>
      </c>
      <c r="F16">
        <f t="shared" si="2"/>
        <v>10</v>
      </c>
      <c r="G16">
        <f t="shared" si="2"/>
        <v>1</v>
      </c>
      <c r="H16">
        <f t="shared" si="2"/>
        <v>10</v>
      </c>
      <c r="I16">
        <f t="shared" si="2"/>
        <v>10</v>
      </c>
      <c r="J16">
        <f t="shared" si="2"/>
        <v>4</v>
      </c>
      <c r="K16">
        <f t="shared" si="2"/>
        <v>10</v>
      </c>
    </row>
    <row r="17" spans="1:12">
      <c r="A17" s="10" t="s">
        <v>6</v>
      </c>
      <c r="B17">
        <f t="shared" si="2"/>
        <v>1</v>
      </c>
      <c r="C17">
        <f t="shared" si="2"/>
        <v>8</v>
      </c>
      <c r="D17">
        <f t="shared" si="2"/>
        <v>10</v>
      </c>
      <c r="E17">
        <f t="shared" si="2"/>
        <v>2</v>
      </c>
      <c r="F17">
        <f t="shared" si="2"/>
        <v>9</v>
      </c>
      <c r="G17">
        <f t="shared" si="2"/>
        <v>10</v>
      </c>
      <c r="H17">
        <f t="shared" si="2"/>
        <v>9</v>
      </c>
      <c r="I17">
        <f t="shared" si="2"/>
        <v>8</v>
      </c>
      <c r="J17">
        <f t="shared" si="2"/>
        <v>6</v>
      </c>
      <c r="K17">
        <f t="shared" si="2"/>
        <v>3</v>
      </c>
    </row>
    <row r="18" spans="1:12">
      <c r="A18" s="10" t="s">
        <v>7</v>
      </c>
      <c r="B18">
        <f t="shared" si="2"/>
        <v>5</v>
      </c>
      <c r="C18">
        <f t="shared" si="2"/>
        <v>9</v>
      </c>
      <c r="D18">
        <f t="shared" si="2"/>
        <v>4</v>
      </c>
      <c r="E18">
        <f t="shared" si="2"/>
        <v>3</v>
      </c>
      <c r="F18">
        <f t="shared" si="2"/>
        <v>3</v>
      </c>
      <c r="G18">
        <f t="shared" si="2"/>
        <v>7</v>
      </c>
      <c r="H18">
        <f t="shared" si="2"/>
        <v>6</v>
      </c>
      <c r="I18">
        <f t="shared" si="2"/>
        <v>5</v>
      </c>
      <c r="J18">
        <f t="shared" si="2"/>
        <v>10</v>
      </c>
      <c r="K18">
        <f t="shared" si="2"/>
        <v>9</v>
      </c>
    </row>
    <row r="19" spans="1:12">
      <c r="A19" s="11" t="s">
        <v>2</v>
      </c>
      <c r="B19">
        <f t="shared" si="2"/>
        <v>3</v>
      </c>
      <c r="C19">
        <f t="shared" si="2"/>
        <v>7</v>
      </c>
      <c r="D19">
        <f t="shared" si="2"/>
        <v>6</v>
      </c>
      <c r="E19">
        <f t="shared" si="2"/>
        <v>8</v>
      </c>
      <c r="F19">
        <f t="shared" si="2"/>
        <v>4</v>
      </c>
      <c r="G19">
        <f t="shared" si="2"/>
        <v>6</v>
      </c>
      <c r="H19">
        <f t="shared" si="2"/>
        <v>3</v>
      </c>
      <c r="I19">
        <f t="shared" si="2"/>
        <v>7</v>
      </c>
      <c r="J19">
        <f t="shared" si="2"/>
        <v>2</v>
      </c>
      <c r="K19">
        <f t="shared" si="2"/>
        <v>8</v>
      </c>
    </row>
    <row r="20" spans="1:12">
      <c r="A20" s="11" t="s">
        <v>3</v>
      </c>
      <c r="B20">
        <f t="shared" si="2"/>
        <v>10</v>
      </c>
      <c r="C20">
        <f t="shared" si="2"/>
        <v>5</v>
      </c>
      <c r="D20">
        <f t="shared" si="2"/>
        <v>7</v>
      </c>
      <c r="E20">
        <f t="shared" si="2"/>
        <v>9</v>
      </c>
      <c r="F20">
        <f t="shared" si="2"/>
        <v>5</v>
      </c>
      <c r="G20">
        <f t="shared" si="2"/>
        <v>3</v>
      </c>
      <c r="H20">
        <f t="shared" si="2"/>
        <v>7</v>
      </c>
      <c r="I20">
        <f t="shared" si="2"/>
        <v>9</v>
      </c>
      <c r="J20">
        <f t="shared" si="2"/>
        <v>9</v>
      </c>
      <c r="K20">
        <f t="shared" si="2"/>
        <v>5</v>
      </c>
    </row>
    <row r="21" spans="1:12">
      <c r="A21" s="12" t="s">
        <v>8</v>
      </c>
      <c r="B21">
        <f t="shared" si="2"/>
        <v>6</v>
      </c>
      <c r="C21">
        <f t="shared" si="2"/>
        <v>6</v>
      </c>
      <c r="D21">
        <f t="shared" si="2"/>
        <v>2</v>
      </c>
      <c r="E21">
        <f t="shared" si="2"/>
        <v>5</v>
      </c>
      <c r="F21">
        <f t="shared" si="2"/>
        <v>7</v>
      </c>
      <c r="G21">
        <f t="shared" si="2"/>
        <v>9</v>
      </c>
      <c r="H21">
        <f t="shared" si="2"/>
        <v>4</v>
      </c>
      <c r="I21">
        <f t="shared" si="2"/>
        <v>3</v>
      </c>
      <c r="J21">
        <f t="shared" si="2"/>
        <v>3</v>
      </c>
      <c r="K21">
        <f t="shared" si="2"/>
        <v>2</v>
      </c>
    </row>
    <row r="22" spans="1:12">
      <c r="A22" s="12" t="s">
        <v>9</v>
      </c>
      <c r="B22">
        <f t="shared" si="2"/>
        <v>8</v>
      </c>
      <c r="C22">
        <f t="shared" si="2"/>
        <v>3</v>
      </c>
      <c r="D22">
        <f t="shared" si="2"/>
        <v>9</v>
      </c>
      <c r="E22">
        <f t="shared" si="2"/>
        <v>7</v>
      </c>
      <c r="F22">
        <f t="shared" si="2"/>
        <v>8</v>
      </c>
      <c r="G22">
        <f t="shared" si="2"/>
        <v>2</v>
      </c>
      <c r="H22">
        <f t="shared" si="2"/>
        <v>8</v>
      </c>
      <c r="I22">
        <f t="shared" si="2"/>
        <v>4</v>
      </c>
      <c r="J22">
        <f t="shared" si="2"/>
        <v>7</v>
      </c>
      <c r="K22">
        <f t="shared" si="2"/>
        <v>7</v>
      </c>
    </row>
    <row r="23" spans="1:12">
      <c r="A23" s="12" t="s">
        <v>10</v>
      </c>
      <c r="B23">
        <f t="shared" si="2"/>
        <v>7</v>
      </c>
      <c r="C23">
        <f t="shared" si="2"/>
        <v>4</v>
      </c>
      <c r="D23">
        <f t="shared" si="2"/>
        <v>5</v>
      </c>
      <c r="E23">
        <f t="shared" si="2"/>
        <v>6</v>
      </c>
      <c r="F23">
        <f t="shared" si="2"/>
        <v>6</v>
      </c>
      <c r="G23">
        <f t="shared" si="2"/>
        <v>4</v>
      </c>
      <c r="H23">
        <f t="shared" si="2"/>
        <v>5</v>
      </c>
      <c r="I23">
        <f t="shared" si="2"/>
        <v>2</v>
      </c>
      <c r="J23">
        <f t="shared" si="2"/>
        <v>5</v>
      </c>
      <c r="K23">
        <f t="shared" si="2"/>
        <v>6</v>
      </c>
    </row>
    <row r="24" spans="1:12">
      <c r="A24" s="15" t="s">
        <v>27</v>
      </c>
      <c r="B24">
        <f t="shared" si="2"/>
        <v>2</v>
      </c>
      <c r="C24">
        <f t="shared" si="2"/>
        <v>1</v>
      </c>
      <c r="D24">
        <f t="shared" si="2"/>
        <v>1</v>
      </c>
      <c r="E24">
        <f t="shared" si="2"/>
        <v>4</v>
      </c>
      <c r="F24">
        <f t="shared" si="2"/>
        <v>2</v>
      </c>
      <c r="G24">
        <f t="shared" si="2"/>
        <v>5</v>
      </c>
      <c r="H24">
        <f t="shared" si="2"/>
        <v>2</v>
      </c>
      <c r="I24">
        <f t="shared" si="2"/>
        <v>1</v>
      </c>
      <c r="J24">
        <f t="shared" si="2"/>
        <v>1</v>
      </c>
      <c r="K24">
        <f t="shared" si="2"/>
        <v>1</v>
      </c>
    </row>
    <row r="27" spans="1:12">
      <c r="A27" s="15" t="s">
        <v>32</v>
      </c>
      <c r="B27" s="9">
        <f>MAX(B2:B11)</f>
        <v>0.316310412369391</v>
      </c>
      <c r="C27" s="9">
        <f t="shared" ref="C27:L27" si="3">MAX(C2:C11)</f>
        <v>0.68185144713865298</v>
      </c>
      <c r="D27" s="9">
        <f t="shared" si="3"/>
        <v>0.78178693490756501</v>
      </c>
      <c r="E27" s="9">
        <f t="shared" si="3"/>
        <v>0.65077293955489302</v>
      </c>
      <c r="F27" s="9">
        <f t="shared" si="3"/>
        <v>0.98757895689331798</v>
      </c>
      <c r="G27" s="9">
        <f t="shared" si="3"/>
        <v>0.98128619237566195</v>
      </c>
      <c r="H27" s="9">
        <f t="shared" si="3"/>
        <v>0.99672518743640803</v>
      </c>
      <c r="I27" s="9">
        <f t="shared" si="3"/>
        <v>0.9241651782054463</v>
      </c>
      <c r="J27" s="9">
        <f t="shared" si="3"/>
        <v>0.58177143034170797</v>
      </c>
      <c r="K27" s="9">
        <f t="shared" si="3"/>
        <v>0.91932571995523382</v>
      </c>
      <c r="L27" s="9">
        <f t="shared" si="3"/>
        <v>8.1999999999999993</v>
      </c>
    </row>
    <row r="28" spans="1:12">
      <c r="A28" s="15" t="s">
        <v>33</v>
      </c>
      <c r="B28" s="6">
        <f>LARGE(B2:B11,2)</f>
        <v>0.30624058797410098</v>
      </c>
      <c r="C28" s="6">
        <f t="shared" ref="C28:L28" si="4">LARGE(C2:C11,2)</f>
        <v>0.679305762375366</v>
      </c>
      <c r="D28" s="6">
        <f t="shared" si="4"/>
        <v>0.7709838526833005</v>
      </c>
      <c r="E28" s="6">
        <f t="shared" si="4"/>
        <v>0.592338630774496</v>
      </c>
      <c r="F28" s="6">
        <f t="shared" si="4"/>
        <v>0.98279971823907286</v>
      </c>
      <c r="G28" s="6">
        <f t="shared" si="4"/>
        <v>0.85602225415079225</v>
      </c>
      <c r="H28" s="6">
        <f t="shared" si="4"/>
        <v>0.99645590485548663</v>
      </c>
      <c r="I28" s="6">
        <f t="shared" si="4"/>
        <v>0.90433576097473178</v>
      </c>
      <c r="J28" s="6">
        <f t="shared" si="4"/>
        <v>0.58096751010673875</v>
      </c>
      <c r="K28" s="6">
        <f t="shared" si="4"/>
        <v>0.91143019360755062</v>
      </c>
      <c r="L28">
        <f t="shared" si="4"/>
        <v>6.9</v>
      </c>
    </row>
    <row r="30" spans="1:12" ht="45">
      <c r="A30" s="18" t="s">
        <v>34</v>
      </c>
      <c r="B30" s="19" t="str">
        <f>"\textbf{"&amp;TEXT(B27,"0.0000")&amp;"}"</f>
        <v>\textbf{0.3163}</v>
      </c>
      <c r="C30" s="19" t="str">
        <f t="shared" ref="C30:K30" si="5">"\textbf{"&amp;TEXT(C27,"0.0000")&amp;"}"</f>
        <v>\textbf{0.6819}</v>
      </c>
      <c r="D30" s="19" t="str">
        <f t="shared" si="5"/>
        <v>\textbf{0.7818}</v>
      </c>
      <c r="E30" s="19" t="str">
        <f t="shared" si="5"/>
        <v>\textbf{0.6508}</v>
      </c>
      <c r="F30" s="19" t="str">
        <f t="shared" si="5"/>
        <v>\textbf{0.9876}</v>
      </c>
      <c r="G30" s="19" t="str">
        <f t="shared" si="5"/>
        <v>\textbf{0.9813}</v>
      </c>
      <c r="H30" s="19" t="str">
        <f t="shared" si="5"/>
        <v>\textbf{0.9967}</v>
      </c>
      <c r="I30" s="19" t="str">
        <f t="shared" si="5"/>
        <v>\textbf{0.9242}</v>
      </c>
      <c r="J30" s="19" t="str">
        <f t="shared" si="5"/>
        <v>\textbf{0.5818}</v>
      </c>
      <c r="K30" s="19" t="str">
        <f t="shared" si="5"/>
        <v>\textbf{0.9193}</v>
      </c>
    </row>
    <row r="31" spans="1:12" ht="45">
      <c r="A31" s="18" t="s">
        <v>35</v>
      </c>
      <c r="B31" s="19" t="str">
        <f>"\underline{"&amp;TEXT(B28,"0.0000")&amp;"}"</f>
        <v>\underline{0.3062}</v>
      </c>
      <c r="C31" s="19" t="str">
        <f t="shared" ref="C31:K31" si="6">"\underline{"&amp;TEXT(C28,"0.0000")&amp;"}"</f>
        <v>\underline{0.6793}</v>
      </c>
      <c r="D31" s="19" t="str">
        <f t="shared" si="6"/>
        <v>\underline{0.7710}</v>
      </c>
      <c r="E31" s="19" t="str">
        <f t="shared" si="6"/>
        <v>\underline{0.5923}</v>
      </c>
      <c r="F31" s="19" t="str">
        <f t="shared" si="6"/>
        <v>\underline{0.9828}</v>
      </c>
      <c r="G31" s="19" t="str">
        <f t="shared" si="6"/>
        <v>\underline{0.8560}</v>
      </c>
      <c r="H31" s="19" t="str">
        <f t="shared" si="6"/>
        <v>\underline{0.9965}</v>
      </c>
      <c r="I31" s="19" t="str">
        <f t="shared" si="6"/>
        <v>\underline{0.9043}</v>
      </c>
      <c r="J31" s="19" t="str">
        <f t="shared" si="6"/>
        <v>\underline{0.5810}</v>
      </c>
      <c r="K31" s="19" t="str">
        <f t="shared" si="6"/>
        <v>\underline{0.9114}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E94B-A14B-7049-8555-A1072A97E783}">
  <dimension ref="A1:L31"/>
  <sheetViews>
    <sheetView zoomScale="115" zoomScaleNormal="115" workbookViewId="0">
      <selection activeCell="A14" sqref="A14:K31"/>
    </sheetView>
  </sheetViews>
  <sheetFormatPr baseColWidth="10" defaultColWidth="9.1640625" defaultRowHeight="14"/>
  <cols>
    <col min="1" max="1" width="16.83203125" customWidth="1"/>
    <col min="2" max="2" width="14.33203125" customWidth="1"/>
    <col min="3" max="3" width="12.6640625" customWidth="1"/>
    <col min="4" max="4" width="15" customWidth="1"/>
    <col min="5" max="5" width="14.6640625" customWidth="1"/>
    <col min="6" max="6" width="23.1640625" customWidth="1"/>
    <col min="7" max="7" width="8.6640625" customWidth="1"/>
    <col min="8" max="8" width="11" customWidth="1"/>
    <col min="9" max="9" width="10.5" customWidth="1"/>
    <col min="10" max="10" width="10.33203125" customWidth="1"/>
  </cols>
  <sheetData>
    <row r="1" spans="1:12" ht="15">
      <c r="A1" s="13" t="s">
        <v>37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6" t="s">
        <v>29</v>
      </c>
    </row>
    <row r="2" spans="1:12">
      <c r="A2" s="10" t="s">
        <v>4</v>
      </c>
      <c r="B2" s="9">
        <v>0.28359879848487901</v>
      </c>
      <c r="C2" s="9">
        <v>0.67942171881000801</v>
      </c>
      <c r="D2" s="9">
        <v>0.74613839433554896</v>
      </c>
      <c r="E2" s="9">
        <v>0.68257175690876104</v>
      </c>
      <c r="F2" s="9">
        <v>0.98779364707108597</v>
      </c>
      <c r="G2" s="9">
        <v>0.82084618281752997</v>
      </c>
      <c r="H2" s="9">
        <v>0.99678790185553701</v>
      </c>
      <c r="I2" s="9">
        <v>0.84761896200514197</v>
      </c>
      <c r="J2" s="9">
        <v>0.49875547890118299</v>
      </c>
      <c r="K2" s="9">
        <v>0.90477839932413096</v>
      </c>
      <c r="L2">
        <f>AVERAGE(B15:K15)</f>
        <v>3.8</v>
      </c>
    </row>
    <row r="3" spans="1:12">
      <c r="A3" s="17" t="s">
        <v>31</v>
      </c>
      <c r="B3" s="9">
        <v>0.21938231112155901</v>
      </c>
      <c r="C3" s="9">
        <v>0.49920803343943598</v>
      </c>
      <c r="D3" s="9">
        <v>0.73415331562364905</v>
      </c>
      <c r="E3" s="9">
        <v>7.5630156366188694E-2</v>
      </c>
      <c r="F3" s="9">
        <v>0.52652096652332103</v>
      </c>
      <c r="G3" s="9">
        <v>0.98373834829475304</v>
      </c>
      <c r="H3" s="9">
        <v>0.27726389300061599</v>
      </c>
      <c r="I3" s="9">
        <v>0.77051625003843405</v>
      </c>
      <c r="J3" s="9">
        <v>0.55473134759976805</v>
      </c>
      <c r="K3" s="9">
        <v>0.72784710260531404</v>
      </c>
      <c r="L3">
        <f t="shared" ref="L3:L10" si="0">AVERAGE(B16:K16)</f>
        <v>8.1</v>
      </c>
    </row>
    <row r="4" spans="1:12">
      <c r="A4" s="17" t="s">
        <v>39</v>
      </c>
      <c r="B4" s="9">
        <v>0.31782325979094</v>
      </c>
      <c r="C4" s="9">
        <v>0.52866837875986294</v>
      </c>
      <c r="D4" s="9">
        <v>0.63177244175542502</v>
      </c>
      <c r="E4" s="9">
        <v>0.62834450918373896</v>
      </c>
      <c r="F4" s="9">
        <v>0.95565965864444502</v>
      </c>
      <c r="G4" s="9">
        <v>0.72182839639486995</v>
      </c>
      <c r="H4" s="9">
        <v>0.96450349299996396</v>
      </c>
      <c r="I4" s="9">
        <v>0.81116794207215204</v>
      </c>
      <c r="J4" s="9">
        <v>0.53893214682981005</v>
      </c>
      <c r="K4" s="9">
        <v>0.909807403683627</v>
      </c>
      <c r="L4">
        <f t="shared" si="0"/>
        <v>6.8</v>
      </c>
    </row>
    <row r="5" spans="1:12">
      <c r="A5" s="10" t="s">
        <v>7</v>
      </c>
      <c r="B5" s="9">
        <v>0.27603275741327099</v>
      </c>
      <c r="C5" s="9">
        <v>0.52905857614019103</v>
      </c>
      <c r="D5" s="9">
        <v>0.745557411646251</v>
      </c>
      <c r="E5" s="9">
        <v>0.58807566770183095</v>
      </c>
      <c r="F5" s="9">
        <v>0.98223218252518196</v>
      </c>
      <c r="G5" s="9">
        <v>0.82038514623360503</v>
      </c>
      <c r="H5" s="9">
        <v>0.98788009124023501</v>
      </c>
      <c r="I5" s="9">
        <v>0.83238268372399205</v>
      </c>
      <c r="J5" s="9">
        <v>0.49424926622948601</v>
      </c>
      <c r="K5" s="9">
        <v>0.76213798887677797</v>
      </c>
      <c r="L5">
        <f t="shared" si="0"/>
        <v>6.4</v>
      </c>
    </row>
    <row r="6" spans="1:12">
      <c r="A6" s="11" t="s">
        <v>2</v>
      </c>
      <c r="B6" s="6">
        <v>0.37421148005173038</v>
      </c>
      <c r="C6" s="6">
        <v>0.57140119960129465</v>
      </c>
      <c r="D6" s="6">
        <v>0.72351136706077479</v>
      </c>
      <c r="E6" s="6">
        <v>0.2417399589306776</v>
      </c>
      <c r="F6" s="6">
        <v>0.98165168044452178</v>
      </c>
      <c r="G6" s="6">
        <v>0.84316283238532219</v>
      </c>
      <c r="H6" s="6">
        <v>0.99186880666392008</v>
      </c>
      <c r="I6" s="6">
        <v>0.82627557802331231</v>
      </c>
      <c r="J6" s="6">
        <v>0.59116415214474283</v>
      </c>
      <c r="K6" s="6">
        <v>0.82190333776760016</v>
      </c>
      <c r="L6">
        <f t="shared" si="0"/>
        <v>5.2</v>
      </c>
    </row>
    <row r="7" spans="1:12">
      <c r="A7" s="11" t="s">
        <v>3</v>
      </c>
      <c r="B7" s="6">
        <v>0.1545147463754622</v>
      </c>
      <c r="C7" s="6">
        <v>0.65334894935990884</v>
      </c>
      <c r="D7" s="6">
        <v>0.71628953632610959</v>
      </c>
      <c r="E7" s="6">
        <v>0.20064837329793622</v>
      </c>
      <c r="F7" s="6">
        <v>0.97947956197607022</v>
      </c>
      <c r="G7" s="6">
        <v>0.86351000688016799</v>
      </c>
      <c r="H7" s="6">
        <v>0.98320737442114547</v>
      </c>
      <c r="I7" s="6">
        <v>0.80878747807646134</v>
      </c>
      <c r="J7" s="6">
        <v>0.4911219056635982</v>
      </c>
      <c r="K7" s="6">
        <v>0.89675692628468051</v>
      </c>
      <c r="L7">
        <f t="shared" si="0"/>
        <v>7.2</v>
      </c>
    </row>
    <row r="8" spans="1:12">
      <c r="A8" s="12" t="s">
        <v>8</v>
      </c>
      <c r="B8" s="6">
        <v>0.29932832894666606</v>
      </c>
      <c r="C8" s="6">
        <v>0.65347283491018859</v>
      </c>
      <c r="D8" s="6">
        <v>0.76877797256873581</v>
      </c>
      <c r="E8" s="6">
        <v>0.40267610210742577</v>
      </c>
      <c r="F8" s="6">
        <v>0.97549414358397502</v>
      </c>
      <c r="G8" s="6">
        <v>0.80661754862960211</v>
      </c>
      <c r="H8" s="6">
        <v>0.99141605928747079</v>
      </c>
      <c r="I8" s="6">
        <v>0.88420107414986993</v>
      </c>
      <c r="J8" s="6">
        <v>0.57174341330365763</v>
      </c>
      <c r="K8" s="6">
        <v>0.9157770543961139</v>
      </c>
      <c r="L8">
        <f t="shared" si="0"/>
        <v>4.4000000000000004</v>
      </c>
    </row>
    <row r="9" spans="1:12">
      <c r="A9" s="12" t="s">
        <v>9</v>
      </c>
      <c r="B9" s="6">
        <v>0.26441297412459658</v>
      </c>
      <c r="C9" s="6">
        <v>0.66634234027059758</v>
      </c>
      <c r="D9" s="6">
        <v>0.64906382912370086</v>
      </c>
      <c r="E9" s="6">
        <v>0.29793744252784621</v>
      </c>
      <c r="F9" s="6">
        <v>0.95372894920761675</v>
      </c>
      <c r="G9" s="6">
        <v>0.87840794610054229</v>
      </c>
      <c r="H9" s="6">
        <v>0.97557728713671654</v>
      </c>
      <c r="I9" s="6">
        <v>0.84576414657741306</v>
      </c>
      <c r="J9" s="6">
        <v>0.50541194014126856</v>
      </c>
      <c r="K9" s="6">
        <v>0.85059266795067878</v>
      </c>
      <c r="L9">
        <f t="shared" si="0"/>
        <v>6.5</v>
      </c>
    </row>
    <row r="10" spans="1:12">
      <c r="A10" s="12" t="s">
        <v>10</v>
      </c>
      <c r="B10" s="6">
        <v>0.28702637311285661</v>
      </c>
      <c r="C10" s="6">
        <v>0.66233393721511202</v>
      </c>
      <c r="D10" s="6">
        <v>0.75341673947714261</v>
      </c>
      <c r="E10" s="6">
        <v>0.36189467345289439</v>
      </c>
      <c r="F10" s="6">
        <v>0.97735851906581939</v>
      </c>
      <c r="G10" s="6">
        <v>0.85949728253482438</v>
      </c>
      <c r="H10" s="6">
        <v>0.9889745410054388</v>
      </c>
      <c r="I10" s="6">
        <v>0.90608499902474249</v>
      </c>
      <c r="J10" s="6">
        <v>0.56060051104631581</v>
      </c>
      <c r="K10" s="6">
        <v>0.8757095807787435</v>
      </c>
      <c r="L10">
        <f t="shared" si="0"/>
        <v>4.5</v>
      </c>
    </row>
    <row r="11" spans="1:12">
      <c r="A11" s="15" t="s">
        <v>27</v>
      </c>
      <c r="B11" s="7">
        <v>0.34898905998549401</v>
      </c>
      <c r="C11" s="7">
        <v>0.68469339504144799</v>
      </c>
      <c r="D11" s="7">
        <v>0.78397341712063995</v>
      </c>
      <c r="E11" s="7">
        <v>0.41415164550976702</v>
      </c>
      <c r="F11" s="7">
        <v>0.98324036000270698</v>
      </c>
      <c r="G11" s="7">
        <v>0.848412412405389</v>
      </c>
      <c r="H11" s="7">
        <v>0.99648985102443999</v>
      </c>
      <c r="I11" s="7">
        <v>0.92555413562882605</v>
      </c>
      <c r="J11" s="7">
        <v>0.58459706730166605</v>
      </c>
      <c r="K11" s="7">
        <v>0.92828689342139803</v>
      </c>
      <c r="L11">
        <f>AVERAGE(B24:K24)</f>
        <v>2.1</v>
      </c>
    </row>
    <row r="14" spans="1:12">
      <c r="A14" s="14" t="s">
        <v>26</v>
      </c>
    </row>
    <row r="15" spans="1:12">
      <c r="A15" s="10" t="s">
        <v>4</v>
      </c>
      <c r="B15">
        <f>RANK(B2,B$2:B$11)</f>
        <v>6</v>
      </c>
      <c r="C15">
        <f t="shared" ref="C15:K15" si="1">RANK(C2,C$2:C$11)</f>
        <v>2</v>
      </c>
      <c r="D15">
        <f t="shared" si="1"/>
        <v>4</v>
      </c>
      <c r="E15">
        <f t="shared" si="1"/>
        <v>1</v>
      </c>
      <c r="F15">
        <f t="shared" si="1"/>
        <v>1</v>
      </c>
      <c r="G15">
        <f t="shared" si="1"/>
        <v>7</v>
      </c>
      <c r="H15">
        <f t="shared" si="1"/>
        <v>1</v>
      </c>
      <c r="I15">
        <f t="shared" si="1"/>
        <v>4</v>
      </c>
      <c r="J15">
        <f t="shared" si="1"/>
        <v>8</v>
      </c>
      <c r="K15">
        <f t="shared" si="1"/>
        <v>4</v>
      </c>
    </row>
    <row r="16" spans="1:12">
      <c r="A16" s="10" t="s">
        <v>5</v>
      </c>
      <c r="B16">
        <f t="shared" ref="B16:K24" si="2">RANK(B3,B$2:B$11)</f>
        <v>9</v>
      </c>
      <c r="C16">
        <f t="shared" si="2"/>
        <v>10</v>
      </c>
      <c r="D16">
        <f t="shared" si="2"/>
        <v>6</v>
      </c>
      <c r="E16">
        <f t="shared" si="2"/>
        <v>10</v>
      </c>
      <c r="F16">
        <f t="shared" si="2"/>
        <v>10</v>
      </c>
      <c r="G16">
        <f t="shared" si="2"/>
        <v>1</v>
      </c>
      <c r="H16">
        <f t="shared" si="2"/>
        <v>10</v>
      </c>
      <c r="I16">
        <f t="shared" si="2"/>
        <v>10</v>
      </c>
      <c r="J16">
        <f t="shared" si="2"/>
        <v>5</v>
      </c>
      <c r="K16">
        <f t="shared" si="2"/>
        <v>10</v>
      </c>
    </row>
    <row r="17" spans="1:12">
      <c r="A17" s="10" t="s">
        <v>6</v>
      </c>
      <c r="B17">
        <f t="shared" si="2"/>
        <v>3</v>
      </c>
      <c r="C17">
        <f t="shared" si="2"/>
        <v>9</v>
      </c>
      <c r="D17">
        <f t="shared" si="2"/>
        <v>10</v>
      </c>
      <c r="E17">
        <f t="shared" si="2"/>
        <v>2</v>
      </c>
      <c r="F17">
        <f t="shared" si="2"/>
        <v>8</v>
      </c>
      <c r="G17">
        <f t="shared" si="2"/>
        <v>10</v>
      </c>
      <c r="H17">
        <f t="shared" si="2"/>
        <v>9</v>
      </c>
      <c r="I17">
        <f t="shared" si="2"/>
        <v>8</v>
      </c>
      <c r="J17">
        <f t="shared" si="2"/>
        <v>6</v>
      </c>
      <c r="K17">
        <f t="shared" si="2"/>
        <v>3</v>
      </c>
    </row>
    <row r="18" spans="1:12">
      <c r="A18" s="10" t="s">
        <v>7</v>
      </c>
      <c r="B18">
        <f t="shared" si="2"/>
        <v>7</v>
      </c>
      <c r="C18">
        <f t="shared" si="2"/>
        <v>8</v>
      </c>
      <c r="D18">
        <f t="shared" si="2"/>
        <v>5</v>
      </c>
      <c r="E18">
        <f t="shared" si="2"/>
        <v>3</v>
      </c>
      <c r="F18">
        <f t="shared" si="2"/>
        <v>3</v>
      </c>
      <c r="G18">
        <f t="shared" si="2"/>
        <v>8</v>
      </c>
      <c r="H18">
        <f t="shared" si="2"/>
        <v>6</v>
      </c>
      <c r="I18">
        <f t="shared" si="2"/>
        <v>6</v>
      </c>
      <c r="J18">
        <f t="shared" si="2"/>
        <v>9</v>
      </c>
      <c r="K18">
        <f t="shared" si="2"/>
        <v>9</v>
      </c>
    </row>
    <row r="19" spans="1:12">
      <c r="A19" s="11" t="s">
        <v>2</v>
      </c>
      <c r="B19">
        <f t="shared" si="2"/>
        <v>1</v>
      </c>
      <c r="C19">
        <f t="shared" si="2"/>
        <v>7</v>
      </c>
      <c r="D19">
        <f t="shared" si="2"/>
        <v>7</v>
      </c>
      <c r="E19">
        <f t="shared" si="2"/>
        <v>8</v>
      </c>
      <c r="F19">
        <f t="shared" si="2"/>
        <v>4</v>
      </c>
      <c r="G19">
        <f t="shared" si="2"/>
        <v>6</v>
      </c>
      <c r="H19">
        <f t="shared" si="2"/>
        <v>3</v>
      </c>
      <c r="I19">
        <f t="shared" si="2"/>
        <v>7</v>
      </c>
      <c r="J19">
        <f t="shared" si="2"/>
        <v>1</v>
      </c>
      <c r="K19">
        <f t="shared" si="2"/>
        <v>8</v>
      </c>
    </row>
    <row r="20" spans="1:12">
      <c r="A20" s="11" t="s">
        <v>3</v>
      </c>
      <c r="B20">
        <f t="shared" si="2"/>
        <v>10</v>
      </c>
      <c r="C20">
        <f t="shared" si="2"/>
        <v>6</v>
      </c>
      <c r="D20">
        <f t="shared" si="2"/>
        <v>8</v>
      </c>
      <c r="E20">
        <f t="shared" si="2"/>
        <v>9</v>
      </c>
      <c r="F20">
        <f t="shared" si="2"/>
        <v>5</v>
      </c>
      <c r="G20">
        <f t="shared" si="2"/>
        <v>3</v>
      </c>
      <c r="H20">
        <f t="shared" si="2"/>
        <v>7</v>
      </c>
      <c r="I20">
        <f t="shared" si="2"/>
        <v>9</v>
      </c>
      <c r="J20">
        <f t="shared" si="2"/>
        <v>10</v>
      </c>
      <c r="K20">
        <f t="shared" si="2"/>
        <v>5</v>
      </c>
    </row>
    <row r="21" spans="1:12">
      <c r="A21" s="12" t="s">
        <v>8</v>
      </c>
      <c r="B21">
        <f t="shared" si="2"/>
        <v>4</v>
      </c>
      <c r="C21">
        <f t="shared" si="2"/>
        <v>5</v>
      </c>
      <c r="D21">
        <f t="shared" si="2"/>
        <v>2</v>
      </c>
      <c r="E21">
        <f t="shared" si="2"/>
        <v>5</v>
      </c>
      <c r="F21">
        <f t="shared" si="2"/>
        <v>7</v>
      </c>
      <c r="G21">
        <f t="shared" si="2"/>
        <v>9</v>
      </c>
      <c r="H21">
        <f t="shared" si="2"/>
        <v>4</v>
      </c>
      <c r="I21">
        <f t="shared" si="2"/>
        <v>3</v>
      </c>
      <c r="J21">
        <f t="shared" si="2"/>
        <v>3</v>
      </c>
      <c r="K21">
        <f t="shared" si="2"/>
        <v>2</v>
      </c>
    </row>
    <row r="22" spans="1:12">
      <c r="A22" s="12" t="s">
        <v>9</v>
      </c>
      <c r="B22">
        <f t="shared" si="2"/>
        <v>8</v>
      </c>
      <c r="C22">
        <f t="shared" si="2"/>
        <v>3</v>
      </c>
      <c r="D22">
        <f t="shared" si="2"/>
        <v>9</v>
      </c>
      <c r="E22">
        <f t="shared" si="2"/>
        <v>7</v>
      </c>
      <c r="F22">
        <f t="shared" si="2"/>
        <v>9</v>
      </c>
      <c r="G22">
        <f t="shared" si="2"/>
        <v>2</v>
      </c>
      <c r="H22">
        <f t="shared" si="2"/>
        <v>8</v>
      </c>
      <c r="I22">
        <f t="shared" si="2"/>
        <v>5</v>
      </c>
      <c r="J22">
        <f t="shared" si="2"/>
        <v>7</v>
      </c>
      <c r="K22">
        <f t="shared" si="2"/>
        <v>7</v>
      </c>
    </row>
    <row r="23" spans="1:12">
      <c r="A23" s="12" t="s">
        <v>10</v>
      </c>
      <c r="B23">
        <f t="shared" si="2"/>
        <v>5</v>
      </c>
      <c r="C23">
        <f t="shared" si="2"/>
        <v>4</v>
      </c>
      <c r="D23">
        <f t="shared" si="2"/>
        <v>3</v>
      </c>
      <c r="E23">
        <f t="shared" si="2"/>
        <v>6</v>
      </c>
      <c r="F23">
        <f t="shared" si="2"/>
        <v>6</v>
      </c>
      <c r="G23">
        <f t="shared" si="2"/>
        <v>4</v>
      </c>
      <c r="H23">
        <f t="shared" si="2"/>
        <v>5</v>
      </c>
      <c r="I23">
        <f t="shared" si="2"/>
        <v>2</v>
      </c>
      <c r="J23">
        <f t="shared" si="2"/>
        <v>4</v>
      </c>
      <c r="K23">
        <f t="shared" si="2"/>
        <v>6</v>
      </c>
    </row>
    <row r="24" spans="1:12">
      <c r="A24" s="15" t="s">
        <v>27</v>
      </c>
      <c r="B24">
        <f t="shared" si="2"/>
        <v>2</v>
      </c>
      <c r="C24">
        <f t="shared" si="2"/>
        <v>1</v>
      </c>
      <c r="D24">
        <f t="shared" si="2"/>
        <v>1</v>
      </c>
      <c r="E24">
        <f t="shared" si="2"/>
        <v>4</v>
      </c>
      <c r="F24">
        <f t="shared" si="2"/>
        <v>2</v>
      </c>
      <c r="G24">
        <f t="shared" si="2"/>
        <v>5</v>
      </c>
      <c r="H24">
        <f t="shared" si="2"/>
        <v>2</v>
      </c>
      <c r="I24">
        <f t="shared" si="2"/>
        <v>1</v>
      </c>
      <c r="J24">
        <f t="shared" si="2"/>
        <v>2</v>
      </c>
      <c r="K24">
        <f t="shared" si="2"/>
        <v>1</v>
      </c>
    </row>
    <row r="27" spans="1:12">
      <c r="A27" s="15" t="s">
        <v>32</v>
      </c>
      <c r="B27" s="9">
        <f>MAX(B2:B11)</f>
        <v>0.37421148005173038</v>
      </c>
      <c r="C27" s="9">
        <f t="shared" ref="C27:L27" si="3">MAX(C2:C11)</f>
        <v>0.68469339504144799</v>
      </c>
      <c r="D27" s="9">
        <f t="shared" si="3"/>
        <v>0.78397341712063995</v>
      </c>
      <c r="E27" s="9">
        <f t="shared" si="3"/>
        <v>0.68257175690876104</v>
      </c>
      <c r="F27" s="9">
        <f t="shared" si="3"/>
        <v>0.98779364707108597</v>
      </c>
      <c r="G27" s="9">
        <f t="shared" si="3"/>
        <v>0.98373834829475304</v>
      </c>
      <c r="H27" s="9">
        <f t="shared" si="3"/>
        <v>0.99678790185553701</v>
      </c>
      <c r="I27" s="9">
        <f t="shared" si="3"/>
        <v>0.92555413562882605</v>
      </c>
      <c r="J27" s="9">
        <f t="shared" si="3"/>
        <v>0.59116415214474283</v>
      </c>
      <c r="K27" s="9">
        <f t="shared" si="3"/>
        <v>0.92828689342139803</v>
      </c>
      <c r="L27" s="9">
        <f t="shared" si="3"/>
        <v>8.1</v>
      </c>
    </row>
    <row r="28" spans="1:12">
      <c r="A28" s="15" t="s">
        <v>33</v>
      </c>
      <c r="B28" s="6">
        <f>LARGE(B2:B11,2)</f>
        <v>0.34898905998549401</v>
      </c>
      <c r="C28" s="6">
        <f t="shared" ref="C28:L28" si="4">LARGE(C2:C11,2)</f>
        <v>0.67942171881000801</v>
      </c>
      <c r="D28" s="6">
        <f t="shared" si="4"/>
        <v>0.76877797256873581</v>
      </c>
      <c r="E28" s="6">
        <f t="shared" si="4"/>
        <v>0.62834450918373896</v>
      </c>
      <c r="F28" s="6">
        <f t="shared" si="4"/>
        <v>0.98324036000270698</v>
      </c>
      <c r="G28" s="6">
        <f t="shared" si="4"/>
        <v>0.87840794610054229</v>
      </c>
      <c r="H28" s="6">
        <f t="shared" si="4"/>
        <v>0.99648985102443999</v>
      </c>
      <c r="I28" s="6">
        <f t="shared" si="4"/>
        <v>0.90608499902474249</v>
      </c>
      <c r="J28" s="6">
        <f t="shared" si="4"/>
        <v>0.58459706730166605</v>
      </c>
      <c r="K28" s="6">
        <f t="shared" si="4"/>
        <v>0.9157770543961139</v>
      </c>
      <c r="L28">
        <f t="shared" si="4"/>
        <v>7.2</v>
      </c>
    </row>
    <row r="30" spans="1:12" ht="45">
      <c r="A30" s="18" t="s">
        <v>34</v>
      </c>
      <c r="B30" s="19" t="str">
        <f>"\textbf{"&amp;TEXT(B27,"0.0000")&amp;"}"</f>
        <v>\textbf{0.3742}</v>
      </c>
      <c r="C30" s="19" t="str">
        <f t="shared" ref="C30:K30" si="5">"\textbf{"&amp;TEXT(C27,"0.0000")&amp;"}"</f>
        <v>\textbf{0.6847}</v>
      </c>
      <c r="D30" s="19" t="str">
        <f t="shared" si="5"/>
        <v>\textbf{0.7840}</v>
      </c>
      <c r="E30" s="19" t="str">
        <f t="shared" si="5"/>
        <v>\textbf{0.6826}</v>
      </c>
      <c r="F30" s="19" t="str">
        <f t="shared" si="5"/>
        <v>\textbf{0.9878}</v>
      </c>
      <c r="G30" s="19" t="str">
        <f t="shared" si="5"/>
        <v>\textbf{0.9837}</v>
      </c>
      <c r="H30" s="19" t="str">
        <f t="shared" si="5"/>
        <v>\textbf{0.9968}</v>
      </c>
      <c r="I30" s="19" t="str">
        <f t="shared" si="5"/>
        <v>\textbf{0.9256}</v>
      </c>
      <c r="J30" s="19" t="str">
        <f t="shared" si="5"/>
        <v>\textbf{0.5912}</v>
      </c>
      <c r="K30" s="19" t="str">
        <f t="shared" si="5"/>
        <v>\textbf{0.9283}</v>
      </c>
    </row>
    <row r="31" spans="1:12" ht="45">
      <c r="A31" s="18" t="s">
        <v>35</v>
      </c>
      <c r="B31" s="19" t="str">
        <f>"\underline{"&amp;TEXT(B28,"0.0000")&amp;"}"</f>
        <v>\underline{0.3490}</v>
      </c>
      <c r="C31" s="19" t="str">
        <f t="shared" ref="C31:K31" si="6">"\underline{"&amp;TEXT(C28,"0.0000")&amp;"}"</f>
        <v>\underline{0.6794}</v>
      </c>
      <c r="D31" s="19" t="str">
        <f t="shared" si="6"/>
        <v>\underline{0.7688}</v>
      </c>
      <c r="E31" s="19" t="str">
        <f t="shared" si="6"/>
        <v>\underline{0.6283}</v>
      </c>
      <c r="F31" s="19" t="str">
        <f t="shared" si="6"/>
        <v>\underline{0.9832}</v>
      </c>
      <c r="G31" s="19" t="str">
        <f t="shared" si="6"/>
        <v>\underline{0.8784}</v>
      </c>
      <c r="H31" s="19" t="str">
        <f t="shared" si="6"/>
        <v>\underline{0.9965}</v>
      </c>
      <c r="I31" s="19" t="str">
        <f t="shared" si="6"/>
        <v>\underline{0.9061}</v>
      </c>
      <c r="J31" s="19" t="str">
        <f t="shared" si="6"/>
        <v>\underline{0.5846}</v>
      </c>
      <c r="K31" s="19" t="str">
        <f t="shared" si="6"/>
        <v>\underline{0.9158}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590A-3AFB-AE47-9063-116F98C8643F}">
  <dimension ref="A1:L31"/>
  <sheetViews>
    <sheetView tabSelected="1" zoomScale="97" zoomScaleNormal="97" workbookViewId="0">
      <selection activeCell="O20" sqref="O20"/>
    </sheetView>
  </sheetViews>
  <sheetFormatPr baseColWidth="10" defaultColWidth="9.1640625" defaultRowHeight="14"/>
  <cols>
    <col min="1" max="1" width="19.1640625" customWidth="1"/>
    <col min="2" max="2" width="14.33203125" customWidth="1"/>
    <col min="3" max="3" width="12.6640625" customWidth="1"/>
    <col min="4" max="4" width="15" customWidth="1"/>
    <col min="5" max="5" width="14.6640625" customWidth="1"/>
    <col min="6" max="6" width="23.1640625" customWidth="1"/>
    <col min="7" max="7" width="8.6640625" customWidth="1"/>
    <col min="8" max="8" width="11" customWidth="1"/>
    <col min="9" max="9" width="10.5" customWidth="1"/>
    <col min="10" max="10" width="10.33203125" customWidth="1"/>
  </cols>
  <sheetData>
    <row r="1" spans="1:12" ht="15">
      <c r="A1" s="20" t="s">
        <v>38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0" t="s">
        <v>19</v>
      </c>
      <c r="J1" s="20" t="s">
        <v>20</v>
      </c>
      <c r="K1" s="20" t="s">
        <v>21</v>
      </c>
      <c r="L1" s="21" t="s">
        <v>28</v>
      </c>
    </row>
    <row r="2" spans="1:12">
      <c r="A2" s="10" t="s">
        <v>4</v>
      </c>
      <c r="B2" s="9">
        <v>0.28060836501901099</v>
      </c>
      <c r="C2" s="9">
        <v>0.679341657207718</v>
      </c>
      <c r="D2" s="9">
        <v>0.75024390243902395</v>
      </c>
      <c r="E2" s="9">
        <v>0.67341176470588204</v>
      </c>
      <c r="F2" s="9">
        <v>0.98756756756756703</v>
      </c>
      <c r="G2" s="9">
        <v>0.804624277456647</v>
      </c>
      <c r="H2" s="9">
        <v>0.99672578444747595</v>
      </c>
      <c r="I2" s="9">
        <v>0.823890784982935</v>
      </c>
      <c r="J2" s="9">
        <v>0.49888888888888899</v>
      </c>
      <c r="K2" s="9">
        <v>0.90375000000000005</v>
      </c>
      <c r="L2" s="22">
        <v>3.8</v>
      </c>
    </row>
    <row r="3" spans="1:12">
      <c r="A3" s="17" t="s">
        <v>31</v>
      </c>
      <c r="B3" s="9">
        <v>0.224334600760456</v>
      </c>
      <c r="C3" s="9">
        <v>0.49920544835414299</v>
      </c>
      <c r="D3" s="9">
        <v>0.67317073170731601</v>
      </c>
      <c r="E3" s="9">
        <v>7.55294117647059E-2</v>
      </c>
      <c r="F3" s="9">
        <v>0.45189189189189199</v>
      </c>
      <c r="G3" s="9">
        <v>0.98150289017340997</v>
      </c>
      <c r="H3" s="9">
        <v>0.25102319236016302</v>
      </c>
      <c r="I3" s="9">
        <v>0.70307167235494805</v>
      </c>
      <c r="J3" s="9">
        <v>0.55333333333333301</v>
      </c>
      <c r="K3" s="9">
        <v>0.72250000000000003</v>
      </c>
      <c r="L3" s="22">
        <v>8.1999999999999993</v>
      </c>
    </row>
    <row r="4" spans="1:12">
      <c r="A4" s="17" t="s">
        <v>39</v>
      </c>
      <c r="B4" s="9">
        <v>0.315589353612167</v>
      </c>
      <c r="C4" s="9">
        <v>0.52866061293984101</v>
      </c>
      <c r="D4" s="9">
        <v>0.65853658536585302</v>
      </c>
      <c r="E4" s="9">
        <v>0.60705882352941098</v>
      </c>
      <c r="F4" s="9">
        <v>0.95135135135135096</v>
      </c>
      <c r="G4" s="9">
        <v>0.69364161849710904</v>
      </c>
      <c r="H4" s="9">
        <v>0.96271032287403302</v>
      </c>
      <c r="I4" s="9">
        <v>0.77474402730375402</v>
      </c>
      <c r="J4" s="9">
        <v>0.53888888888888797</v>
      </c>
      <c r="K4" s="9">
        <v>0.90312499999999996</v>
      </c>
      <c r="L4" s="22">
        <v>6.6</v>
      </c>
    </row>
    <row r="5" spans="1:12">
      <c r="A5" s="10" t="s">
        <v>7</v>
      </c>
      <c r="B5" s="9">
        <v>0.27604562737642502</v>
      </c>
      <c r="C5" s="9">
        <v>0.52866061293984101</v>
      </c>
      <c r="D5" s="9">
        <v>0.74829268292682904</v>
      </c>
      <c r="E5" s="9">
        <v>0.59058823529411697</v>
      </c>
      <c r="F5" s="9">
        <v>0.98162162162162103</v>
      </c>
      <c r="G5" s="9">
        <v>0.804624277456647</v>
      </c>
      <c r="H5" s="9">
        <v>0.987539790814006</v>
      </c>
      <c r="I5" s="9">
        <v>0.82525597269624495</v>
      </c>
      <c r="J5" s="9">
        <v>0.49444444444444402</v>
      </c>
      <c r="K5" s="9">
        <v>0.75875000000000004</v>
      </c>
      <c r="L5" s="22">
        <v>6.1</v>
      </c>
    </row>
    <row r="6" spans="1:12">
      <c r="A6" s="11" t="s">
        <v>2</v>
      </c>
      <c r="B6" s="6">
        <v>0.33916349809885898</v>
      </c>
      <c r="C6" s="6">
        <v>0.57111237230419942</v>
      </c>
      <c r="D6" s="6">
        <v>0.73853658536585298</v>
      </c>
      <c r="E6" s="6">
        <v>0.2447058823529408</v>
      </c>
      <c r="F6" s="6">
        <v>0.98108108108108083</v>
      </c>
      <c r="G6" s="6">
        <v>0.83236994219653138</v>
      </c>
      <c r="H6" s="6">
        <v>0.99172351068667519</v>
      </c>
      <c r="I6" s="6">
        <v>0.81843003412969251</v>
      </c>
      <c r="J6" s="6">
        <v>0.58666666666666623</v>
      </c>
      <c r="K6" s="6">
        <v>0.82187500000000002</v>
      </c>
      <c r="L6" s="22">
        <v>5.4</v>
      </c>
    </row>
    <row r="7" spans="1:12">
      <c r="A7" s="11" t="s">
        <v>3</v>
      </c>
      <c r="B7" s="6">
        <v>0.26235741444866878</v>
      </c>
      <c r="C7" s="6">
        <v>0.65317820658342762</v>
      </c>
      <c r="D7" s="6">
        <v>0.73170731707317005</v>
      </c>
      <c r="E7" s="6">
        <v>0.2049411764705876</v>
      </c>
      <c r="F7" s="6">
        <v>0.97891891891891836</v>
      </c>
      <c r="G7" s="6">
        <v>0.85549132947976836</v>
      </c>
      <c r="H7" s="6">
        <v>0.98290131878126386</v>
      </c>
      <c r="I7" s="6">
        <v>0.75563139931740575</v>
      </c>
      <c r="J7" s="6">
        <v>0.49111111111111061</v>
      </c>
      <c r="K7" s="6">
        <v>0.89</v>
      </c>
      <c r="L7" s="22">
        <v>6.9</v>
      </c>
    </row>
    <row r="8" spans="1:12">
      <c r="A8" s="12" t="s">
        <v>8</v>
      </c>
      <c r="B8" s="6">
        <v>0.283650190114068</v>
      </c>
      <c r="C8" s="6">
        <v>0.65164585698070332</v>
      </c>
      <c r="D8" s="6">
        <v>0.77756097560975579</v>
      </c>
      <c r="E8" s="6">
        <v>0.40305882352941136</v>
      </c>
      <c r="F8" s="6">
        <v>0.9745945945945943</v>
      </c>
      <c r="G8" s="6">
        <v>0.76531791907514402</v>
      </c>
      <c r="H8" s="6">
        <v>0.99126875852660257</v>
      </c>
      <c r="I8" s="6">
        <v>0.87781569965870287</v>
      </c>
      <c r="J8" s="6">
        <v>0.5699999999999994</v>
      </c>
      <c r="K8" s="6">
        <v>0.91187499999999999</v>
      </c>
      <c r="L8" s="22">
        <v>4.7</v>
      </c>
    </row>
    <row r="9" spans="1:12">
      <c r="A9" s="12" t="s">
        <v>9</v>
      </c>
      <c r="B9" s="6">
        <v>0.26311787072243298</v>
      </c>
      <c r="C9" s="6">
        <v>0.66520998864926173</v>
      </c>
      <c r="D9" s="6">
        <v>0.66048780487804826</v>
      </c>
      <c r="E9" s="6">
        <v>0.26964705882352902</v>
      </c>
      <c r="F9" s="6">
        <v>0.95189189189189138</v>
      </c>
      <c r="G9" s="6">
        <v>0.85433526011560657</v>
      </c>
      <c r="H9" s="6">
        <v>0.97517053206002691</v>
      </c>
      <c r="I9" s="6">
        <v>0.83617747440273005</v>
      </c>
      <c r="J9" s="6">
        <v>0.5055555555555552</v>
      </c>
      <c r="K9" s="6">
        <v>0.84499999999999997</v>
      </c>
      <c r="L9" s="22">
        <v>6.3</v>
      </c>
    </row>
    <row r="10" spans="1:12">
      <c r="A10" s="12" t="s">
        <v>10</v>
      </c>
      <c r="B10" s="6">
        <v>0.304942965779467</v>
      </c>
      <c r="C10" s="6">
        <v>0.66061293984108915</v>
      </c>
      <c r="D10" s="6">
        <v>0.76585365853658482</v>
      </c>
      <c r="E10" s="6">
        <v>0.32658823529411701</v>
      </c>
      <c r="F10" s="6">
        <v>0.97675675675675622</v>
      </c>
      <c r="G10" s="6">
        <v>0.83930635838150247</v>
      </c>
      <c r="H10" s="6">
        <v>0.98881309686220986</v>
      </c>
      <c r="I10" s="6">
        <v>0.90443686006825907</v>
      </c>
      <c r="J10" s="6">
        <v>0.55555555555555503</v>
      </c>
      <c r="K10" s="6">
        <v>0.86875000000000002</v>
      </c>
      <c r="L10" s="22">
        <v>5</v>
      </c>
    </row>
    <row r="11" spans="1:12">
      <c r="A11" s="15" t="s">
        <v>27</v>
      </c>
      <c r="B11" s="7">
        <v>0.31787072243345998</v>
      </c>
      <c r="C11" s="7">
        <v>0.68269012485811498</v>
      </c>
      <c r="D11" s="7">
        <v>0.79512195121951201</v>
      </c>
      <c r="E11" s="7">
        <v>0.41835294117646998</v>
      </c>
      <c r="F11" s="7">
        <v>0.98270270270270299</v>
      </c>
      <c r="G11" s="7">
        <v>0.83583815028901698</v>
      </c>
      <c r="H11" s="7">
        <v>0.99645293315143202</v>
      </c>
      <c r="I11" s="7">
        <v>0.92423208191126305</v>
      </c>
      <c r="J11" s="7">
        <v>0.58333333333333304</v>
      </c>
      <c r="K11" s="7">
        <v>0.91937500000000005</v>
      </c>
      <c r="L11" s="22">
        <v>2</v>
      </c>
    </row>
    <row r="12" spans="1: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>
      <c r="A14" s="14" t="s">
        <v>26</v>
      </c>
      <c r="L14" s="22"/>
    </row>
    <row r="15" spans="1:12">
      <c r="A15" s="10" t="s">
        <v>4</v>
      </c>
      <c r="B15">
        <f>RANK(B2,B$2:B$11)</f>
        <v>6</v>
      </c>
      <c r="C15">
        <f t="shared" ref="C15:K15" si="0">RANK(C2,C$2:C$11)</f>
        <v>2</v>
      </c>
      <c r="D15">
        <f t="shared" si="0"/>
        <v>4</v>
      </c>
      <c r="E15">
        <f t="shared" si="0"/>
        <v>1</v>
      </c>
      <c r="F15">
        <f t="shared" si="0"/>
        <v>1</v>
      </c>
      <c r="G15">
        <f t="shared" si="0"/>
        <v>7</v>
      </c>
      <c r="H15">
        <f t="shared" si="0"/>
        <v>1</v>
      </c>
      <c r="I15">
        <f t="shared" si="0"/>
        <v>6</v>
      </c>
      <c r="J15">
        <f t="shared" si="0"/>
        <v>8</v>
      </c>
      <c r="K15">
        <f t="shared" si="0"/>
        <v>3</v>
      </c>
      <c r="L15" s="22"/>
    </row>
    <row r="16" spans="1:12">
      <c r="A16" s="10" t="s">
        <v>5</v>
      </c>
      <c r="B16">
        <f t="shared" ref="B16:K24" si="1">RANK(B3,B$2:B$11)</f>
        <v>10</v>
      </c>
      <c r="C16">
        <f t="shared" si="1"/>
        <v>10</v>
      </c>
      <c r="D16">
        <f t="shared" si="1"/>
        <v>8</v>
      </c>
      <c r="E16">
        <f t="shared" si="1"/>
        <v>10</v>
      </c>
      <c r="F16">
        <f t="shared" si="1"/>
        <v>10</v>
      </c>
      <c r="G16">
        <f t="shared" si="1"/>
        <v>1</v>
      </c>
      <c r="H16">
        <f t="shared" si="1"/>
        <v>10</v>
      </c>
      <c r="I16">
        <f t="shared" si="1"/>
        <v>10</v>
      </c>
      <c r="J16">
        <f t="shared" si="1"/>
        <v>5</v>
      </c>
      <c r="K16">
        <f t="shared" si="1"/>
        <v>10</v>
      </c>
      <c r="L16" s="22"/>
    </row>
    <row r="17" spans="1:12">
      <c r="A17" s="10" t="s">
        <v>6</v>
      </c>
      <c r="B17">
        <f t="shared" si="1"/>
        <v>3</v>
      </c>
      <c r="C17">
        <f t="shared" si="1"/>
        <v>8</v>
      </c>
      <c r="D17">
        <f t="shared" si="1"/>
        <v>10</v>
      </c>
      <c r="E17">
        <f t="shared" si="1"/>
        <v>2</v>
      </c>
      <c r="F17">
        <f t="shared" si="1"/>
        <v>9</v>
      </c>
      <c r="G17">
        <f t="shared" si="1"/>
        <v>10</v>
      </c>
      <c r="H17">
        <f t="shared" si="1"/>
        <v>9</v>
      </c>
      <c r="I17">
        <f t="shared" si="1"/>
        <v>8</v>
      </c>
      <c r="J17">
        <f t="shared" si="1"/>
        <v>6</v>
      </c>
      <c r="K17">
        <f t="shared" si="1"/>
        <v>4</v>
      </c>
      <c r="L17" s="22"/>
    </row>
    <row r="18" spans="1:12">
      <c r="A18" s="10" t="s">
        <v>7</v>
      </c>
      <c r="B18">
        <f t="shared" si="1"/>
        <v>7</v>
      </c>
      <c r="C18">
        <f t="shared" si="1"/>
        <v>8</v>
      </c>
      <c r="D18">
        <f t="shared" si="1"/>
        <v>5</v>
      </c>
      <c r="E18">
        <f t="shared" si="1"/>
        <v>3</v>
      </c>
      <c r="F18">
        <f t="shared" si="1"/>
        <v>3</v>
      </c>
      <c r="G18">
        <f t="shared" si="1"/>
        <v>7</v>
      </c>
      <c r="H18">
        <f t="shared" si="1"/>
        <v>6</v>
      </c>
      <c r="I18">
        <f t="shared" si="1"/>
        <v>5</v>
      </c>
      <c r="J18">
        <f t="shared" si="1"/>
        <v>9</v>
      </c>
      <c r="K18">
        <f t="shared" si="1"/>
        <v>9</v>
      </c>
      <c r="L18" s="22"/>
    </row>
    <row r="19" spans="1:12">
      <c r="A19" s="11" t="s">
        <v>2</v>
      </c>
      <c r="B19">
        <f t="shared" si="1"/>
        <v>1</v>
      </c>
      <c r="C19">
        <f t="shared" si="1"/>
        <v>7</v>
      </c>
      <c r="D19">
        <f t="shared" si="1"/>
        <v>6</v>
      </c>
      <c r="E19">
        <f t="shared" si="1"/>
        <v>8</v>
      </c>
      <c r="F19">
        <f t="shared" si="1"/>
        <v>4</v>
      </c>
      <c r="G19">
        <f t="shared" si="1"/>
        <v>6</v>
      </c>
      <c r="H19">
        <f t="shared" si="1"/>
        <v>3</v>
      </c>
      <c r="I19">
        <f t="shared" si="1"/>
        <v>7</v>
      </c>
      <c r="J19">
        <f t="shared" si="1"/>
        <v>1</v>
      </c>
      <c r="K19">
        <f t="shared" si="1"/>
        <v>8</v>
      </c>
      <c r="L19" s="22"/>
    </row>
    <row r="20" spans="1:12">
      <c r="A20" s="11" t="s">
        <v>3</v>
      </c>
      <c r="B20">
        <f t="shared" si="1"/>
        <v>9</v>
      </c>
      <c r="C20">
        <f t="shared" si="1"/>
        <v>5</v>
      </c>
      <c r="D20">
        <f t="shared" si="1"/>
        <v>7</v>
      </c>
      <c r="E20">
        <f t="shared" si="1"/>
        <v>9</v>
      </c>
      <c r="F20">
        <f t="shared" si="1"/>
        <v>5</v>
      </c>
      <c r="G20">
        <f t="shared" si="1"/>
        <v>2</v>
      </c>
      <c r="H20">
        <f t="shared" si="1"/>
        <v>7</v>
      </c>
      <c r="I20">
        <f t="shared" si="1"/>
        <v>9</v>
      </c>
      <c r="J20">
        <f t="shared" si="1"/>
        <v>10</v>
      </c>
      <c r="K20">
        <f t="shared" si="1"/>
        <v>5</v>
      </c>
      <c r="L20" s="22"/>
    </row>
    <row r="21" spans="1:12">
      <c r="A21" s="12" t="s">
        <v>8</v>
      </c>
      <c r="B21">
        <f t="shared" si="1"/>
        <v>5</v>
      </c>
      <c r="C21">
        <f t="shared" si="1"/>
        <v>6</v>
      </c>
      <c r="D21">
        <f t="shared" si="1"/>
        <v>2</v>
      </c>
      <c r="E21">
        <f t="shared" si="1"/>
        <v>5</v>
      </c>
      <c r="F21">
        <f t="shared" si="1"/>
        <v>7</v>
      </c>
      <c r="G21">
        <f t="shared" si="1"/>
        <v>9</v>
      </c>
      <c r="H21">
        <f t="shared" si="1"/>
        <v>4</v>
      </c>
      <c r="I21">
        <f t="shared" si="1"/>
        <v>3</v>
      </c>
      <c r="J21">
        <f t="shared" si="1"/>
        <v>3</v>
      </c>
      <c r="K21">
        <f t="shared" si="1"/>
        <v>2</v>
      </c>
      <c r="L21" s="22"/>
    </row>
    <row r="22" spans="1:12">
      <c r="A22" s="12" t="s">
        <v>9</v>
      </c>
      <c r="B22">
        <f t="shared" si="1"/>
        <v>8</v>
      </c>
      <c r="C22">
        <f t="shared" si="1"/>
        <v>3</v>
      </c>
      <c r="D22">
        <f t="shared" si="1"/>
        <v>9</v>
      </c>
      <c r="E22">
        <f t="shared" si="1"/>
        <v>7</v>
      </c>
      <c r="F22">
        <f t="shared" si="1"/>
        <v>8</v>
      </c>
      <c r="G22">
        <f t="shared" si="1"/>
        <v>3</v>
      </c>
      <c r="H22">
        <f t="shared" si="1"/>
        <v>8</v>
      </c>
      <c r="I22">
        <f t="shared" si="1"/>
        <v>4</v>
      </c>
      <c r="J22">
        <f t="shared" si="1"/>
        <v>7</v>
      </c>
      <c r="K22">
        <f t="shared" si="1"/>
        <v>7</v>
      </c>
      <c r="L22" s="22"/>
    </row>
    <row r="23" spans="1:12">
      <c r="A23" s="12" t="s">
        <v>10</v>
      </c>
      <c r="B23">
        <f t="shared" si="1"/>
        <v>4</v>
      </c>
      <c r="C23">
        <f t="shared" si="1"/>
        <v>4</v>
      </c>
      <c r="D23">
        <f t="shared" si="1"/>
        <v>3</v>
      </c>
      <c r="E23">
        <f t="shared" si="1"/>
        <v>6</v>
      </c>
      <c r="F23">
        <f t="shared" si="1"/>
        <v>6</v>
      </c>
      <c r="G23">
        <f t="shared" si="1"/>
        <v>4</v>
      </c>
      <c r="H23">
        <f t="shared" si="1"/>
        <v>5</v>
      </c>
      <c r="I23">
        <f t="shared" si="1"/>
        <v>2</v>
      </c>
      <c r="J23">
        <f t="shared" si="1"/>
        <v>4</v>
      </c>
      <c r="K23">
        <f t="shared" si="1"/>
        <v>6</v>
      </c>
      <c r="L23" s="22"/>
    </row>
    <row r="24" spans="1:12">
      <c r="A24" s="15" t="s">
        <v>27</v>
      </c>
      <c r="B24">
        <f t="shared" si="1"/>
        <v>2</v>
      </c>
      <c r="C24">
        <f t="shared" si="1"/>
        <v>1</v>
      </c>
      <c r="D24">
        <f t="shared" si="1"/>
        <v>1</v>
      </c>
      <c r="E24">
        <f t="shared" si="1"/>
        <v>4</v>
      </c>
      <c r="F24">
        <f t="shared" si="1"/>
        <v>2</v>
      </c>
      <c r="G24">
        <f t="shared" si="1"/>
        <v>5</v>
      </c>
      <c r="H24">
        <f t="shared" si="1"/>
        <v>2</v>
      </c>
      <c r="I24">
        <f t="shared" si="1"/>
        <v>1</v>
      </c>
      <c r="J24">
        <f t="shared" si="1"/>
        <v>2</v>
      </c>
      <c r="K24">
        <f t="shared" si="1"/>
        <v>1</v>
      </c>
      <c r="L24" s="22"/>
    </row>
    <row r="25" spans="1:12">
      <c r="L25" s="22"/>
    </row>
    <row r="26" spans="1:12">
      <c r="L26" s="22"/>
    </row>
    <row r="27" spans="1:12">
      <c r="A27" s="15" t="s">
        <v>32</v>
      </c>
      <c r="B27" s="9">
        <f>MAX(B2:B11)</f>
        <v>0.33916349809885898</v>
      </c>
      <c r="C27" s="9">
        <f t="shared" ref="C27:K27" si="2">MAX(C2:C11)</f>
        <v>0.68269012485811498</v>
      </c>
      <c r="D27" s="9">
        <f t="shared" si="2"/>
        <v>0.79512195121951201</v>
      </c>
      <c r="E27" s="9">
        <f t="shared" si="2"/>
        <v>0.67341176470588204</v>
      </c>
      <c r="F27" s="9">
        <f t="shared" si="2"/>
        <v>0.98756756756756703</v>
      </c>
      <c r="G27" s="9">
        <f t="shared" si="2"/>
        <v>0.98150289017340997</v>
      </c>
      <c r="H27" s="9">
        <f t="shared" si="2"/>
        <v>0.99672578444747595</v>
      </c>
      <c r="I27" s="9">
        <f t="shared" si="2"/>
        <v>0.92423208191126305</v>
      </c>
      <c r="J27" s="9">
        <f t="shared" si="2"/>
        <v>0.58666666666666623</v>
      </c>
      <c r="K27" s="9">
        <f t="shared" si="2"/>
        <v>0.91937500000000005</v>
      </c>
      <c r="L27" s="23">
        <v>8.1999999999999993</v>
      </c>
    </row>
    <row r="28" spans="1:12">
      <c r="A28" s="15" t="s">
        <v>33</v>
      </c>
      <c r="B28" s="6">
        <f>LARGE(B2:B11,2)</f>
        <v>0.31787072243345998</v>
      </c>
      <c r="C28" s="6">
        <f t="shared" ref="C28:K28" si="3">LARGE(C2:C11,2)</f>
        <v>0.679341657207718</v>
      </c>
      <c r="D28" s="6">
        <f t="shared" si="3"/>
        <v>0.77756097560975579</v>
      </c>
      <c r="E28" s="6">
        <f t="shared" si="3"/>
        <v>0.60705882352941098</v>
      </c>
      <c r="F28" s="6">
        <f t="shared" si="3"/>
        <v>0.98270270270270299</v>
      </c>
      <c r="G28" s="6">
        <f t="shared" si="3"/>
        <v>0.85549132947976836</v>
      </c>
      <c r="H28" s="6">
        <f t="shared" si="3"/>
        <v>0.99645293315143202</v>
      </c>
      <c r="I28" s="6">
        <f t="shared" si="3"/>
        <v>0.90443686006825907</v>
      </c>
      <c r="J28" s="6">
        <f t="shared" si="3"/>
        <v>0.58333333333333304</v>
      </c>
      <c r="K28" s="6">
        <f t="shared" si="3"/>
        <v>0.91187499999999999</v>
      </c>
      <c r="L28" s="22">
        <v>6.9</v>
      </c>
    </row>
    <row r="29" spans="1:12">
      <c r="L29" s="22"/>
    </row>
    <row r="30" spans="1:12" ht="45">
      <c r="A30" s="18" t="s">
        <v>34</v>
      </c>
      <c r="B30" s="19" t="str">
        <f>"\textbf{"&amp;TEXT(B27,"0.0000")&amp;"}"</f>
        <v>\textbf{0.3392}</v>
      </c>
      <c r="C30" s="19" t="str">
        <f t="shared" ref="C30:K30" si="4">"\textbf{"&amp;TEXT(C27,"0.0000")&amp;"}"</f>
        <v>\textbf{0.6827}</v>
      </c>
      <c r="D30" s="19" t="str">
        <f t="shared" si="4"/>
        <v>\textbf{0.7951}</v>
      </c>
      <c r="E30" s="19" t="str">
        <f t="shared" si="4"/>
        <v>\textbf{0.6734}</v>
      </c>
      <c r="F30" s="19" t="str">
        <f t="shared" si="4"/>
        <v>\textbf{0.9876}</v>
      </c>
      <c r="G30" s="19" t="str">
        <f t="shared" si="4"/>
        <v>\textbf{0.9815}</v>
      </c>
      <c r="H30" s="19" t="str">
        <f t="shared" si="4"/>
        <v>\textbf{0.9967}</v>
      </c>
      <c r="I30" s="19" t="str">
        <f t="shared" si="4"/>
        <v>\textbf{0.9242}</v>
      </c>
      <c r="J30" s="19" t="str">
        <f t="shared" si="4"/>
        <v>\textbf{0.5867}</v>
      </c>
      <c r="K30" s="19" t="str">
        <f t="shared" si="4"/>
        <v>\textbf{0.9194}</v>
      </c>
      <c r="L30" s="22"/>
    </row>
    <row r="31" spans="1:12" ht="45">
      <c r="A31" s="18" t="s">
        <v>35</v>
      </c>
      <c r="B31" s="19" t="str">
        <f>"\underline{"&amp;TEXT(B28,"0.0000")&amp;"}"</f>
        <v>\underline{0.3179}</v>
      </c>
      <c r="C31" s="19" t="str">
        <f t="shared" ref="C31:K31" si="5">"\underline{"&amp;TEXT(C28,"0.0000")&amp;"}"</f>
        <v>\underline{0.6793}</v>
      </c>
      <c r="D31" s="19" t="str">
        <f t="shared" si="5"/>
        <v>\underline{0.7776}</v>
      </c>
      <c r="E31" s="19" t="str">
        <f t="shared" si="5"/>
        <v>\underline{0.6071}</v>
      </c>
      <c r="F31" s="19" t="str">
        <f t="shared" si="5"/>
        <v>\underline{0.9827}</v>
      </c>
      <c r="G31" s="19" t="str">
        <f t="shared" si="5"/>
        <v>\underline{0.8555}</v>
      </c>
      <c r="H31" s="19" t="str">
        <f t="shared" si="5"/>
        <v>\underline{0.9965}</v>
      </c>
      <c r="I31" s="19" t="str">
        <f t="shared" si="5"/>
        <v>\underline{0.9044}</v>
      </c>
      <c r="J31" s="19" t="str">
        <f t="shared" si="5"/>
        <v>\underline{0.5833}</v>
      </c>
      <c r="K31" s="19" t="str">
        <f t="shared" si="5"/>
        <v>\underline{0.9119}</v>
      </c>
      <c r="L31" s="22"/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zoomScale="120" zoomScaleNormal="120" workbookViewId="0">
      <selection activeCell="C29" sqref="C29"/>
    </sheetView>
  </sheetViews>
  <sheetFormatPr baseColWidth="10" defaultColWidth="11" defaultRowHeight="14"/>
  <cols>
    <col min="1" max="1" width="10.6640625" customWidth="1"/>
    <col min="2" max="2" width="14.33203125" customWidth="1"/>
    <col min="3" max="3" width="12.6640625" customWidth="1"/>
    <col min="4" max="4" width="15" customWidth="1"/>
    <col min="5" max="5" width="14.6640625" customWidth="1"/>
    <col min="6" max="6" width="23.1640625" customWidth="1"/>
    <col min="7" max="7" width="8.6640625" customWidth="1"/>
    <col min="8" max="8" width="11" customWidth="1"/>
    <col min="9" max="9" width="10.5" customWidth="1"/>
    <col min="10" max="10" width="10.33203125" customWidth="1"/>
  </cols>
  <sheetData>
    <row r="1" spans="1:11" ht="16">
      <c r="A1" s="1" t="s">
        <v>0</v>
      </c>
      <c r="B1" s="1"/>
      <c r="C1" s="1"/>
      <c r="D1" s="1"/>
      <c r="E1" s="1"/>
      <c r="F1" s="1"/>
      <c r="G1" s="1"/>
    </row>
    <row r="2" spans="1:11" ht="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t="s">
        <v>11</v>
      </c>
    </row>
    <row r="3" spans="1:11" ht="16">
      <c r="A3" s="4" t="s">
        <v>12</v>
      </c>
      <c r="B3" s="5">
        <v>0.290735772272735</v>
      </c>
      <c r="C3" s="5">
        <v>0.18241836055611399</v>
      </c>
      <c r="D3" s="5">
        <v>0.37008647971183201</v>
      </c>
      <c r="E3" s="5">
        <v>0.234435352803713</v>
      </c>
      <c r="F3" s="5">
        <v>0.30796544084211303</v>
      </c>
      <c r="G3" s="5">
        <v>0.34918093886639601</v>
      </c>
      <c r="H3" s="6">
        <v>0.25741847555931202</v>
      </c>
      <c r="I3" s="6">
        <v>0.220976587842457</v>
      </c>
      <c r="J3" s="6">
        <v>0.255437385124617</v>
      </c>
      <c r="K3" s="7">
        <v>0.30620000000000003</v>
      </c>
    </row>
    <row r="4" spans="1:11" ht="16">
      <c r="A4" s="4" t="s">
        <v>13</v>
      </c>
      <c r="B4" s="5">
        <v>0.57067500892985201</v>
      </c>
      <c r="C4" s="5">
        <v>0.65308690971068595</v>
      </c>
      <c r="D4" s="5">
        <v>0.59981564263385001</v>
      </c>
      <c r="E4" s="5">
        <v>0.49939930645791603</v>
      </c>
      <c r="F4" s="5"/>
      <c r="G4" s="5">
        <v>0.52733129766699305</v>
      </c>
      <c r="H4" s="6">
        <v>0.65062539590505397</v>
      </c>
      <c r="I4" s="6">
        <v>0.66462362383851203</v>
      </c>
      <c r="J4" s="6">
        <v>0.65972467554470204</v>
      </c>
      <c r="K4" s="7">
        <v>0.68189999999999995</v>
      </c>
    </row>
    <row r="5" spans="1:11" ht="16">
      <c r="A5" s="4" t="s">
        <v>14</v>
      </c>
      <c r="B5" s="5">
        <v>0.72493891288925405</v>
      </c>
      <c r="C5" s="5">
        <v>0.72135542912939499</v>
      </c>
      <c r="D5" s="5">
        <v>0.66586089374394697</v>
      </c>
      <c r="E5" s="5">
        <v>0.68834320280221895</v>
      </c>
      <c r="F5" s="5">
        <v>0.629452788848895</v>
      </c>
      <c r="G5" s="5">
        <v>0.64104279779612205</v>
      </c>
      <c r="H5" s="6">
        <v>0.77098385268330005</v>
      </c>
      <c r="I5" s="6">
        <v>0.65349938328817603</v>
      </c>
      <c r="J5" s="6">
        <v>0.73278396831011305</v>
      </c>
      <c r="K5" s="7">
        <v>0.78180000000000005</v>
      </c>
    </row>
    <row r="6" spans="1:11" ht="16">
      <c r="A6" s="4" t="s">
        <v>15</v>
      </c>
      <c r="B6" s="5">
        <v>0.21154719374797001</v>
      </c>
      <c r="C6" s="5">
        <v>0.174866885983225</v>
      </c>
      <c r="D6" s="5">
        <v>0.24395854526498301</v>
      </c>
      <c r="E6" s="5">
        <v>9.5737745996909498E-2</v>
      </c>
      <c r="F6" s="5">
        <v>0.313460607250237</v>
      </c>
      <c r="G6" s="5">
        <v>0.246465993179869</v>
      </c>
      <c r="H6" s="6">
        <v>0.37103606819473001</v>
      </c>
      <c r="I6" s="6">
        <v>0.255416230053439</v>
      </c>
      <c r="J6" s="6">
        <v>0.30413821619754899</v>
      </c>
      <c r="K6" s="7">
        <v>0.3957</v>
      </c>
    </row>
    <row r="7" spans="1:11" ht="16">
      <c r="A7" s="4" t="s">
        <v>16</v>
      </c>
      <c r="B7" s="5">
        <v>0.98108378759964099</v>
      </c>
      <c r="C7" s="5">
        <v>0.97893629226467105</v>
      </c>
      <c r="D7" s="5">
        <v>0.98013352740755999</v>
      </c>
      <c r="E7" s="5">
        <v>0.70193564643134998</v>
      </c>
      <c r="F7" s="5">
        <v>0.91076724149062205</v>
      </c>
      <c r="G7" s="5">
        <v>0.98126414487991198</v>
      </c>
      <c r="H7" s="6">
        <v>0.97472720206864305</v>
      </c>
      <c r="I7" s="6">
        <v>0.952219721923519</v>
      </c>
      <c r="J7" s="6">
        <v>0.97677133604792699</v>
      </c>
      <c r="K7" s="7">
        <v>0.98280000000000001</v>
      </c>
    </row>
    <row r="8" spans="1:11" ht="16">
      <c r="A8" s="4" t="s">
        <v>17</v>
      </c>
      <c r="B8" s="5">
        <v>0.82865084752870899</v>
      </c>
      <c r="C8" s="5">
        <v>0.85454653626700905</v>
      </c>
      <c r="D8" s="5"/>
      <c r="E8" s="5">
        <v>0.76910787596136498</v>
      </c>
      <c r="F8" s="5"/>
      <c r="G8" s="5"/>
      <c r="H8" s="6">
        <v>0.76596770386532398</v>
      </c>
      <c r="I8" s="6">
        <v>0.85602225415079203</v>
      </c>
      <c r="J8" s="6">
        <v>0.83917072548919203</v>
      </c>
      <c r="K8" s="7">
        <v>0.83620000000000005</v>
      </c>
    </row>
    <row r="9" spans="1:11" ht="16">
      <c r="A9" s="4" t="s">
        <v>18</v>
      </c>
      <c r="B9" s="5">
        <v>0.99172665819929795</v>
      </c>
      <c r="C9" s="5">
        <v>0.98287272906509004</v>
      </c>
      <c r="D9" s="5">
        <v>0.99071370143039805</v>
      </c>
      <c r="E9" s="5">
        <v>0.52980904208048696</v>
      </c>
      <c r="F9" s="5">
        <v>0.97325570132207995</v>
      </c>
      <c r="G9" s="5">
        <v>0.98717266521288605</v>
      </c>
      <c r="H9" s="6">
        <v>0.99127503155808605</v>
      </c>
      <c r="I9" s="6">
        <v>0.97516894132790799</v>
      </c>
      <c r="J9" s="6">
        <v>0.98879723839801803</v>
      </c>
      <c r="K9" s="7">
        <v>0.99650000000000005</v>
      </c>
    </row>
    <row r="10" spans="1:11" ht="16">
      <c r="A10" s="4" t="s">
        <v>19</v>
      </c>
      <c r="B10" s="5">
        <v>0.81740201121557399</v>
      </c>
      <c r="C10" s="5">
        <v>0.74408063968173299</v>
      </c>
      <c r="D10" s="5">
        <v>0.88182201069404298</v>
      </c>
      <c r="E10" s="5">
        <v>0.54289348016072103</v>
      </c>
      <c r="F10" s="5">
        <v>0.77191156305986197</v>
      </c>
      <c r="G10" s="5">
        <v>0.89552453369448404</v>
      </c>
      <c r="H10" s="6">
        <v>0.87724935912482105</v>
      </c>
      <c r="I10" s="6">
        <v>0.83487624687807704</v>
      </c>
      <c r="J10" s="6">
        <v>0.90433576097473201</v>
      </c>
      <c r="K10" s="7">
        <v>0.92420000000000002</v>
      </c>
    </row>
    <row r="11" spans="1:11" ht="16">
      <c r="A11" s="4" t="s">
        <v>20</v>
      </c>
      <c r="B11" s="5">
        <v>0.58096751010673897</v>
      </c>
      <c r="C11" s="5">
        <v>0.48895707716201597</v>
      </c>
      <c r="D11" s="5">
        <v>0.48679651449197597</v>
      </c>
      <c r="E11" s="5">
        <v>0.453104706785391</v>
      </c>
      <c r="F11" s="5">
        <v>0.48730650154798699</v>
      </c>
      <c r="G11" s="5">
        <v>0.47860302715430197</v>
      </c>
      <c r="H11" s="6">
        <v>0.56756598131930303</v>
      </c>
      <c r="I11" s="6">
        <v>0.50383186996268703</v>
      </c>
      <c r="J11" s="6">
        <v>0.54785946709863897</v>
      </c>
      <c r="K11" s="7">
        <v>0.58179999999999998</v>
      </c>
    </row>
    <row r="12" spans="1:11" ht="16">
      <c r="A12" s="4" t="s">
        <v>21</v>
      </c>
      <c r="B12" s="5">
        <v>0.81885013476077995</v>
      </c>
      <c r="C12" s="5">
        <v>0.88932688684096695</v>
      </c>
      <c r="D12" s="5">
        <v>0.86798340642890803</v>
      </c>
      <c r="E12" s="5">
        <v>0.40999145091401301</v>
      </c>
      <c r="F12" s="5">
        <v>0.85608254387307403</v>
      </c>
      <c r="G12" s="5">
        <v>0.86414613882716595</v>
      </c>
      <c r="H12" s="6">
        <v>0.91143019360755095</v>
      </c>
      <c r="I12" s="6">
        <v>0.84387281190927199</v>
      </c>
      <c r="J12" s="6">
        <v>0.86900955914904898</v>
      </c>
      <c r="K12" s="7">
        <v>0.91930000000000001</v>
      </c>
    </row>
    <row r="13" spans="1:11">
      <c r="A13" s="8" t="s">
        <v>22</v>
      </c>
      <c r="B13" s="6">
        <f>SUM(B17:B26)/10</f>
        <v>5.2</v>
      </c>
      <c r="C13" s="6">
        <f t="shared" ref="C13:K13" si="0">SUM(C17:C26)/10</f>
        <v>6</v>
      </c>
      <c r="D13" s="6">
        <f t="shared" si="0"/>
        <v>5.6</v>
      </c>
      <c r="E13" s="6">
        <f t="shared" si="0"/>
        <v>8.9</v>
      </c>
      <c r="F13" s="6">
        <f t="shared" si="0"/>
        <v>7.6</v>
      </c>
      <c r="G13" s="6">
        <f t="shared" si="0"/>
        <v>6.1</v>
      </c>
      <c r="H13" s="6">
        <f t="shared" si="0"/>
        <v>4.2</v>
      </c>
      <c r="I13" s="6">
        <f t="shared" si="0"/>
        <v>6</v>
      </c>
      <c r="J13" s="6">
        <f t="shared" si="0"/>
        <v>4.0999999999999996</v>
      </c>
      <c r="K13" s="6">
        <f t="shared" si="0"/>
        <v>1.6</v>
      </c>
    </row>
    <row r="14" spans="1:11">
      <c r="A14" s="8"/>
      <c r="B14" s="6"/>
      <c r="C14" s="6"/>
      <c r="D14" s="6"/>
    </row>
    <row r="16" spans="1:11">
      <c r="A16" t="s">
        <v>23</v>
      </c>
    </row>
    <row r="17" spans="1:11" ht="16">
      <c r="A17" s="4" t="s">
        <v>12</v>
      </c>
      <c r="B17">
        <f>_xlfn.IFNA(RANK(B3,$B3:$K3),10)</f>
        <v>5</v>
      </c>
      <c r="C17">
        <f t="shared" ref="C17:K17" si="1">_xlfn.IFNA(RANK(C3,$B3:$K3),10)</f>
        <v>10</v>
      </c>
      <c r="D17">
        <f t="shared" si="1"/>
        <v>1</v>
      </c>
      <c r="E17">
        <f t="shared" si="1"/>
        <v>8</v>
      </c>
      <c r="F17">
        <f t="shared" si="1"/>
        <v>3</v>
      </c>
      <c r="G17">
        <f t="shared" si="1"/>
        <v>2</v>
      </c>
      <c r="H17">
        <f t="shared" si="1"/>
        <v>6</v>
      </c>
      <c r="I17">
        <f t="shared" si="1"/>
        <v>9</v>
      </c>
      <c r="J17">
        <f t="shared" si="1"/>
        <v>7</v>
      </c>
      <c r="K17">
        <f t="shared" si="1"/>
        <v>4</v>
      </c>
    </row>
    <row r="18" spans="1:11" ht="16">
      <c r="A18" s="4" t="s">
        <v>13</v>
      </c>
      <c r="B18">
        <f t="shared" ref="B18:B26" si="2">_xlfn.IFNA(RANK(B4,$B4:$K4),10)</f>
        <v>7</v>
      </c>
      <c r="C18">
        <f t="shared" ref="C18:C26" si="3">_xlfn.IFNA(RANK(C4,$B4:$K4),10)</f>
        <v>4</v>
      </c>
      <c r="D18">
        <f t="shared" ref="D18:D26" si="4">_xlfn.IFNA(RANK(D4,$B4:$K4),10)</f>
        <v>6</v>
      </c>
      <c r="E18">
        <f t="shared" ref="E18:E26" si="5">_xlfn.IFNA(RANK(E4,$B4:$K4),10)</f>
        <v>9</v>
      </c>
      <c r="F18">
        <f t="shared" ref="F18:F26" si="6">_xlfn.IFNA(RANK(F4,$B4:$K4),10)</f>
        <v>10</v>
      </c>
      <c r="G18">
        <f t="shared" ref="G18:G26" si="7">_xlfn.IFNA(RANK(G4,$B4:$K4),10)</f>
        <v>8</v>
      </c>
      <c r="H18">
        <f t="shared" ref="H18:H26" si="8">_xlfn.IFNA(RANK(H4,$B4:$K4),10)</f>
        <v>5</v>
      </c>
      <c r="I18">
        <f t="shared" ref="I18:I26" si="9">_xlfn.IFNA(RANK(I4,$B4:$K4),10)</f>
        <v>2</v>
      </c>
      <c r="J18">
        <f t="shared" ref="J18:J26" si="10">_xlfn.IFNA(RANK(J4,$B4:$K4),10)</f>
        <v>3</v>
      </c>
      <c r="K18">
        <f t="shared" ref="K18:K26" si="11">_xlfn.IFNA(RANK(K4,$B4:$K4),10)</f>
        <v>1</v>
      </c>
    </row>
    <row r="19" spans="1:11" ht="16">
      <c r="A19" s="4" t="s">
        <v>14</v>
      </c>
      <c r="B19">
        <f t="shared" si="2"/>
        <v>4</v>
      </c>
      <c r="C19">
        <f t="shared" si="3"/>
        <v>5</v>
      </c>
      <c r="D19">
        <f t="shared" si="4"/>
        <v>7</v>
      </c>
      <c r="E19">
        <f t="shared" si="5"/>
        <v>6</v>
      </c>
      <c r="F19">
        <f t="shared" si="6"/>
        <v>10</v>
      </c>
      <c r="G19">
        <f t="shared" si="7"/>
        <v>9</v>
      </c>
      <c r="H19">
        <f t="shared" si="8"/>
        <v>2</v>
      </c>
      <c r="I19">
        <f t="shared" si="9"/>
        <v>8</v>
      </c>
      <c r="J19">
        <f t="shared" si="10"/>
        <v>3</v>
      </c>
      <c r="K19">
        <f t="shared" si="11"/>
        <v>1</v>
      </c>
    </row>
    <row r="20" spans="1:11" ht="16">
      <c r="A20" s="4" t="s">
        <v>15</v>
      </c>
      <c r="B20">
        <f t="shared" si="2"/>
        <v>8</v>
      </c>
      <c r="C20">
        <f t="shared" si="3"/>
        <v>9</v>
      </c>
      <c r="D20">
        <f t="shared" si="4"/>
        <v>7</v>
      </c>
      <c r="E20">
        <f t="shared" si="5"/>
        <v>10</v>
      </c>
      <c r="F20">
        <f t="shared" si="6"/>
        <v>3</v>
      </c>
      <c r="G20">
        <f t="shared" si="7"/>
        <v>6</v>
      </c>
      <c r="H20">
        <f t="shared" si="8"/>
        <v>2</v>
      </c>
      <c r="I20">
        <f t="shared" si="9"/>
        <v>5</v>
      </c>
      <c r="J20">
        <f t="shared" si="10"/>
        <v>4</v>
      </c>
      <c r="K20">
        <f t="shared" si="11"/>
        <v>1</v>
      </c>
    </row>
    <row r="21" spans="1:11" ht="16">
      <c r="A21" s="4" t="s">
        <v>16</v>
      </c>
      <c r="B21">
        <f t="shared" si="2"/>
        <v>3</v>
      </c>
      <c r="C21">
        <f t="shared" si="3"/>
        <v>5</v>
      </c>
      <c r="D21">
        <f t="shared" si="4"/>
        <v>4</v>
      </c>
      <c r="E21">
        <f t="shared" si="5"/>
        <v>10</v>
      </c>
      <c r="F21">
        <f t="shared" si="6"/>
        <v>9</v>
      </c>
      <c r="G21">
        <f t="shared" si="7"/>
        <v>2</v>
      </c>
      <c r="H21">
        <f t="shared" si="8"/>
        <v>7</v>
      </c>
      <c r="I21">
        <f t="shared" si="9"/>
        <v>8</v>
      </c>
      <c r="J21">
        <f t="shared" si="10"/>
        <v>6</v>
      </c>
      <c r="K21">
        <f t="shared" si="11"/>
        <v>1</v>
      </c>
    </row>
    <row r="22" spans="1:11" ht="16">
      <c r="A22" s="4" t="s">
        <v>17</v>
      </c>
      <c r="B22">
        <f t="shared" si="2"/>
        <v>5</v>
      </c>
      <c r="C22">
        <f t="shared" si="3"/>
        <v>2</v>
      </c>
      <c r="D22">
        <f t="shared" si="4"/>
        <v>10</v>
      </c>
      <c r="E22">
        <f t="shared" si="5"/>
        <v>6</v>
      </c>
      <c r="F22">
        <f t="shared" si="6"/>
        <v>10</v>
      </c>
      <c r="G22">
        <f t="shared" si="7"/>
        <v>10</v>
      </c>
      <c r="H22">
        <f t="shared" si="8"/>
        <v>7</v>
      </c>
      <c r="I22">
        <f t="shared" si="9"/>
        <v>1</v>
      </c>
      <c r="J22">
        <f t="shared" si="10"/>
        <v>3</v>
      </c>
      <c r="K22">
        <f t="shared" si="11"/>
        <v>4</v>
      </c>
    </row>
    <row r="23" spans="1:11" ht="16">
      <c r="A23" s="4" t="s">
        <v>18</v>
      </c>
      <c r="B23">
        <f t="shared" si="2"/>
        <v>2</v>
      </c>
      <c r="C23">
        <f t="shared" si="3"/>
        <v>7</v>
      </c>
      <c r="D23">
        <f t="shared" si="4"/>
        <v>4</v>
      </c>
      <c r="E23">
        <f t="shared" si="5"/>
        <v>10</v>
      </c>
      <c r="F23">
        <f t="shared" si="6"/>
        <v>9</v>
      </c>
      <c r="G23">
        <f t="shared" si="7"/>
        <v>6</v>
      </c>
      <c r="H23">
        <f t="shared" si="8"/>
        <v>3</v>
      </c>
      <c r="I23">
        <f t="shared" si="9"/>
        <v>8</v>
      </c>
      <c r="J23">
        <f t="shared" si="10"/>
        <v>5</v>
      </c>
      <c r="K23">
        <f t="shared" si="11"/>
        <v>1</v>
      </c>
    </row>
    <row r="24" spans="1:11" ht="16">
      <c r="A24" s="4" t="s">
        <v>19</v>
      </c>
      <c r="B24">
        <f t="shared" si="2"/>
        <v>7</v>
      </c>
      <c r="C24">
        <f t="shared" si="3"/>
        <v>9</v>
      </c>
      <c r="D24">
        <f t="shared" si="4"/>
        <v>4</v>
      </c>
      <c r="E24">
        <f t="shared" si="5"/>
        <v>10</v>
      </c>
      <c r="F24">
        <f t="shared" si="6"/>
        <v>8</v>
      </c>
      <c r="G24">
        <f t="shared" si="7"/>
        <v>3</v>
      </c>
      <c r="H24">
        <f t="shared" si="8"/>
        <v>5</v>
      </c>
      <c r="I24">
        <f t="shared" si="9"/>
        <v>6</v>
      </c>
      <c r="J24">
        <f t="shared" si="10"/>
        <v>2</v>
      </c>
      <c r="K24">
        <f t="shared" si="11"/>
        <v>1</v>
      </c>
    </row>
    <row r="25" spans="1:11" ht="16">
      <c r="A25" s="4" t="s">
        <v>20</v>
      </c>
      <c r="B25">
        <f t="shared" si="2"/>
        <v>2</v>
      </c>
      <c r="C25">
        <f t="shared" si="3"/>
        <v>6</v>
      </c>
      <c r="D25">
        <f t="shared" si="4"/>
        <v>8</v>
      </c>
      <c r="E25">
        <f t="shared" si="5"/>
        <v>10</v>
      </c>
      <c r="F25">
        <f t="shared" si="6"/>
        <v>7</v>
      </c>
      <c r="G25">
        <f t="shared" si="7"/>
        <v>9</v>
      </c>
      <c r="H25">
        <f t="shared" si="8"/>
        <v>3</v>
      </c>
      <c r="I25">
        <f t="shared" si="9"/>
        <v>5</v>
      </c>
      <c r="J25">
        <f t="shared" si="10"/>
        <v>4</v>
      </c>
      <c r="K25">
        <f t="shared" si="11"/>
        <v>1</v>
      </c>
    </row>
    <row r="26" spans="1:11" ht="16">
      <c r="A26" s="4" t="s">
        <v>21</v>
      </c>
      <c r="B26">
        <f t="shared" si="2"/>
        <v>9</v>
      </c>
      <c r="C26">
        <f t="shared" si="3"/>
        <v>3</v>
      </c>
      <c r="D26">
        <f t="shared" si="4"/>
        <v>5</v>
      </c>
      <c r="E26">
        <f t="shared" si="5"/>
        <v>10</v>
      </c>
      <c r="F26">
        <f t="shared" si="6"/>
        <v>7</v>
      </c>
      <c r="G26">
        <f t="shared" si="7"/>
        <v>6</v>
      </c>
      <c r="H26">
        <f t="shared" si="8"/>
        <v>2</v>
      </c>
      <c r="I26">
        <f t="shared" si="9"/>
        <v>8</v>
      </c>
      <c r="J26">
        <f t="shared" si="10"/>
        <v>4</v>
      </c>
      <c r="K26">
        <f t="shared" si="11"/>
        <v>1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zoomScale="115" zoomScaleNormal="115" workbookViewId="0">
      <selection activeCell="C29" sqref="C29"/>
    </sheetView>
  </sheetViews>
  <sheetFormatPr baseColWidth="10" defaultColWidth="9.1640625" defaultRowHeight="14"/>
  <cols>
    <col min="1" max="1" width="10.6640625" customWidth="1"/>
    <col min="2" max="2" width="14.33203125" customWidth="1"/>
    <col min="3" max="3" width="12.6640625" customWidth="1"/>
    <col min="4" max="4" width="15" customWidth="1"/>
    <col min="5" max="5" width="14.6640625" customWidth="1"/>
    <col min="6" max="6" width="23.1640625" customWidth="1"/>
    <col min="7" max="7" width="8.6640625" customWidth="1"/>
    <col min="8" max="8" width="11" customWidth="1"/>
    <col min="9" max="9" width="10.5" customWidth="1"/>
    <col min="10" max="10" width="10.33203125" customWidth="1"/>
  </cols>
  <sheetData>
    <row r="1" spans="1:11" ht="16">
      <c r="A1" s="1" t="s">
        <v>24</v>
      </c>
      <c r="B1" s="1"/>
      <c r="C1" s="1"/>
      <c r="D1" s="1"/>
      <c r="E1" s="1"/>
      <c r="F1" s="1"/>
      <c r="G1" s="1"/>
    </row>
    <row r="2" spans="1:11" ht="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t="s">
        <v>11</v>
      </c>
    </row>
    <row r="3" spans="1:11" ht="16">
      <c r="A3" s="4" t="s">
        <v>12</v>
      </c>
      <c r="B3" s="5">
        <v>0.37421148005172999</v>
      </c>
      <c r="C3" s="5">
        <v>0.154514746375462</v>
      </c>
      <c r="D3" s="5">
        <v>0.37466771500825102</v>
      </c>
      <c r="E3" s="5">
        <v>0.23934162010853799</v>
      </c>
      <c r="F3" s="5">
        <v>0.30996835863756</v>
      </c>
      <c r="G3" s="5">
        <v>0.39042648834230598</v>
      </c>
      <c r="H3" s="6">
        <v>0.299328328946666</v>
      </c>
      <c r="I3" s="6">
        <v>0.26441297412459702</v>
      </c>
      <c r="J3" s="6">
        <v>0.287026373112857</v>
      </c>
      <c r="K3" s="7">
        <v>0.34899999999999998</v>
      </c>
    </row>
    <row r="4" spans="1:11" ht="16">
      <c r="A4" s="4" t="s">
        <v>13</v>
      </c>
      <c r="B4" s="5">
        <v>0.57140119960129498</v>
      </c>
      <c r="C4" s="5">
        <v>0.65334894935990895</v>
      </c>
      <c r="D4" s="5">
        <v>0.60007372295085504</v>
      </c>
      <c r="E4" s="5">
        <v>0.49943210623798501</v>
      </c>
      <c r="F4" s="5"/>
      <c r="G4" s="5">
        <v>0.54760921134648499</v>
      </c>
      <c r="H4" s="6">
        <v>0.65347283491018904</v>
      </c>
      <c r="I4" s="6">
        <v>0.66634234027059802</v>
      </c>
      <c r="J4" s="6">
        <v>0.66233393721511202</v>
      </c>
      <c r="K4" s="7">
        <v>0.68469999999999998</v>
      </c>
    </row>
    <row r="5" spans="1:11" ht="16">
      <c r="A5" s="4" t="s">
        <v>14</v>
      </c>
      <c r="B5" s="5">
        <v>0.72351136706077501</v>
      </c>
      <c r="C5" s="5">
        <v>0.71628953632611003</v>
      </c>
      <c r="D5" s="5">
        <v>0.66468740317397101</v>
      </c>
      <c r="E5" s="5">
        <v>0.68072967668500795</v>
      </c>
      <c r="F5" s="5">
        <v>0.61316685447033303</v>
      </c>
      <c r="G5" s="5">
        <v>0.63806149275641699</v>
      </c>
      <c r="H5" s="6">
        <v>0.76877797256873603</v>
      </c>
      <c r="I5" s="6">
        <v>0.64906382912370097</v>
      </c>
      <c r="J5" s="6">
        <v>0.75341673947714305</v>
      </c>
      <c r="K5" s="7">
        <v>0.78400000000000003</v>
      </c>
    </row>
    <row r="6" spans="1:11" ht="16">
      <c r="A6" s="4" t="s">
        <v>15</v>
      </c>
      <c r="B6" s="5">
        <v>0.24173995893067801</v>
      </c>
      <c r="C6" s="5">
        <v>0.200648373297936</v>
      </c>
      <c r="D6" s="5">
        <v>0.31610379852995402</v>
      </c>
      <c r="E6" s="5">
        <v>0.106804708817083</v>
      </c>
      <c r="F6" s="5">
        <v>0.34540345904946801</v>
      </c>
      <c r="G6" s="5">
        <v>0.28188751013394198</v>
      </c>
      <c r="H6" s="6">
        <v>0.40267610210742599</v>
      </c>
      <c r="I6" s="6">
        <v>0.29793744252784599</v>
      </c>
      <c r="J6" s="6">
        <v>0.361894673452894</v>
      </c>
      <c r="K6" s="7">
        <v>0.41420000000000001</v>
      </c>
    </row>
    <row r="7" spans="1:11" ht="16">
      <c r="A7" s="4" t="s">
        <v>16</v>
      </c>
      <c r="B7" s="5">
        <v>0.981651680444522</v>
      </c>
      <c r="C7" s="5">
        <v>0.97947956197607</v>
      </c>
      <c r="D7" s="5">
        <v>0.980639340632666</v>
      </c>
      <c r="E7" s="5">
        <v>0.73580015094523799</v>
      </c>
      <c r="F7" s="5">
        <v>0.91383000405581005</v>
      </c>
      <c r="G7" s="5">
        <v>0.98200457245157502</v>
      </c>
      <c r="H7" s="6">
        <v>0.97549414358397502</v>
      </c>
      <c r="I7" s="6">
        <v>0.95372894920761697</v>
      </c>
      <c r="J7" s="6">
        <v>0.97735851906581905</v>
      </c>
      <c r="K7" s="7">
        <v>0.98319999999999996</v>
      </c>
    </row>
    <row r="8" spans="1:11" ht="16">
      <c r="A8" s="4" t="s">
        <v>17</v>
      </c>
      <c r="B8" s="5">
        <v>0.84316283238532197</v>
      </c>
      <c r="C8" s="5">
        <v>0.86351000688016799</v>
      </c>
      <c r="D8" s="5"/>
      <c r="E8" s="5">
        <v>0.78000849940503703</v>
      </c>
      <c r="F8" s="5"/>
      <c r="G8" s="5"/>
      <c r="H8" s="6">
        <v>0.806617548629602</v>
      </c>
      <c r="I8" s="6">
        <v>0.87840794610054196</v>
      </c>
      <c r="J8" s="6">
        <v>0.85949728253482405</v>
      </c>
      <c r="K8" s="7">
        <v>0.84840000000000004</v>
      </c>
    </row>
    <row r="9" spans="1:11" ht="16">
      <c r="A9" s="4" t="s">
        <v>18</v>
      </c>
      <c r="B9" s="5">
        <v>0.99186880666391997</v>
      </c>
      <c r="C9" s="5">
        <v>0.98320737442114503</v>
      </c>
      <c r="D9" s="5">
        <v>0.99080844082391195</v>
      </c>
      <c r="E9" s="5">
        <v>0.55205494075464101</v>
      </c>
      <c r="F9" s="5">
        <v>0.97372082614304001</v>
      </c>
      <c r="G9" s="5">
        <v>0.98736731271522105</v>
      </c>
      <c r="H9" s="6">
        <v>0.99141605928747101</v>
      </c>
      <c r="I9" s="6">
        <v>0.97557728713671699</v>
      </c>
      <c r="J9" s="6">
        <v>0.98897454100543902</v>
      </c>
      <c r="K9" s="7">
        <v>0.99650000000000005</v>
      </c>
    </row>
    <row r="10" spans="1:11" ht="16">
      <c r="A10" s="4" t="s">
        <v>19</v>
      </c>
      <c r="B10" s="5">
        <v>0.82627557802331197</v>
      </c>
      <c r="C10" s="5">
        <v>0.80878747807646101</v>
      </c>
      <c r="D10" s="5">
        <v>0.88317344011975696</v>
      </c>
      <c r="E10" s="5">
        <v>0.70260413609475203</v>
      </c>
      <c r="F10" s="5">
        <v>0.81338934103439198</v>
      </c>
      <c r="G10" s="5">
        <v>0.89608502432436399</v>
      </c>
      <c r="H10" s="6">
        <v>0.88420107414987004</v>
      </c>
      <c r="I10" s="6">
        <v>0.84576414657741295</v>
      </c>
      <c r="J10" s="6">
        <v>0.90608499902474204</v>
      </c>
      <c r="K10" s="7">
        <v>0.92559999999999998</v>
      </c>
    </row>
    <row r="11" spans="1:11" ht="16">
      <c r="A11" s="4" t="s">
        <v>20</v>
      </c>
      <c r="B11" s="5">
        <v>0.59116415214474305</v>
      </c>
      <c r="C11" s="5">
        <v>0.49112190566359798</v>
      </c>
      <c r="D11" s="5">
        <v>0.48760761032065802</v>
      </c>
      <c r="E11" s="5">
        <v>0.47504771304698001</v>
      </c>
      <c r="F11" s="5">
        <v>0.48874999999999902</v>
      </c>
      <c r="G11" s="5">
        <v>0.47884566376177501</v>
      </c>
      <c r="H11" s="6">
        <v>0.57174341330365797</v>
      </c>
      <c r="I11" s="6">
        <v>0.505411940141269</v>
      </c>
      <c r="J11" s="6">
        <v>0.56060051104631603</v>
      </c>
      <c r="K11" s="7">
        <v>0.58460000000000001</v>
      </c>
    </row>
    <row r="12" spans="1:11" ht="16">
      <c r="A12" s="4" t="s">
        <v>21</v>
      </c>
      <c r="B12" s="5">
        <v>0.82190333776760005</v>
      </c>
      <c r="C12" s="5">
        <v>0.89675692628468096</v>
      </c>
      <c r="D12" s="5">
        <v>0.87851902063931397</v>
      </c>
      <c r="E12" s="5">
        <v>0.42581498703406201</v>
      </c>
      <c r="F12" s="5">
        <v>0.86801603505891101</v>
      </c>
      <c r="G12" s="5">
        <v>0.87571867521212698</v>
      </c>
      <c r="H12" s="6">
        <v>0.91577705439611401</v>
      </c>
      <c r="I12" s="6">
        <v>0.850592667950679</v>
      </c>
      <c r="J12" s="6">
        <v>0.87570958077874395</v>
      </c>
      <c r="K12" s="7">
        <v>0.92830000000000001</v>
      </c>
    </row>
    <row r="13" spans="1:11">
      <c r="A13" s="8" t="s">
        <v>22</v>
      </c>
      <c r="B13" s="6">
        <f t="shared" ref="B13:K13" si="0">SUM(B17:B26)/10</f>
        <v>4.9000000000000004</v>
      </c>
      <c r="C13" s="6">
        <f t="shared" si="0"/>
        <v>6.1</v>
      </c>
      <c r="D13" s="6">
        <f t="shared" si="0"/>
        <v>5.5</v>
      </c>
      <c r="E13" s="6">
        <f t="shared" si="0"/>
        <v>9.1</v>
      </c>
      <c r="F13" s="6">
        <f t="shared" si="0"/>
        <v>7.9</v>
      </c>
      <c r="G13" s="6">
        <f t="shared" si="0"/>
        <v>6</v>
      </c>
      <c r="H13" s="6">
        <f t="shared" si="0"/>
        <v>3.9</v>
      </c>
      <c r="I13" s="6">
        <f t="shared" si="0"/>
        <v>6</v>
      </c>
      <c r="J13" s="6">
        <f t="shared" si="0"/>
        <v>4.2</v>
      </c>
      <c r="K13" s="6">
        <f t="shared" si="0"/>
        <v>1.7</v>
      </c>
    </row>
    <row r="14" spans="1:11">
      <c r="A14" s="8"/>
      <c r="B14" s="6"/>
      <c r="C14" s="6"/>
      <c r="D14" s="6"/>
    </row>
    <row r="16" spans="1:11">
      <c r="A16" t="s">
        <v>23</v>
      </c>
    </row>
    <row r="17" spans="1:11" ht="16">
      <c r="A17" s="4" t="s">
        <v>12</v>
      </c>
      <c r="B17">
        <f t="shared" ref="B17:K17" si="1">_xlfn.IFNA(RANK(B3,$B3:$K3),10)</f>
        <v>3</v>
      </c>
      <c r="C17">
        <f t="shared" si="1"/>
        <v>10</v>
      </c>
      <c r="D17">
        <f t="shared" si="1"/>
        <v>2</v>
      </c>
      <c r="E17">
        <f t="shared" si="1"/>
        <v>9</v>
      </c>
      <c r="F17">
        <f t="shared" si="1"/>
        <v>5</v>
      </c>
      <c r="G17">
        <f t="shared" si="1"/>
        <v>1</v>
      </c>
      <c r="H17">
        <f t="shared" si="1"/>
        <v>6</v>
      </c>
      <c r="I17">
        <f t="shared" si="1"/>
        <v>8</v>
      </c>
      <c r="J17">
        <f t="shared" si="1"/>
        <v>7</v>
      </c>
      <c r="K17">
        <f t="shared" si="1"/>
        <v>4</v>
      </c>
    </row>
    <row r="18" spans="1:11" ht="16">
      <c r="A18" s="4" t="s">
        <v>13</v>
      </c>
      <c r="B18">
        <f t="shared" ref="B18:K18" si="2">_xlfn.IFNA(RANK(B4,$B4:$K4),10)</f>
        <v>7</v>
      </c>
      <c r="C18">
        <f t="shared" si="2"/>
        <v>5</v>
      </c>
      <c r="D18">
        <f t="shared" si="2"/>
        <v>6</v>
      </c>
      <c r="E18">
        <f t="shared" si="2"/>
        <v>9</v>
      </c>
      <c r="F18">
        <f t="shared" si="2"/>
        <v>10</v>
      </c>
      <c r="G18">
        <f t="shared" si="2"/>
        <v>8</v>
      </c>
      <c r="H18">
        <f t="shared" si="2"/>
        <v>4</v>
      </c>
      <c r="I18">
        <f t="shared" si="2"/>
        <v>2</v>
      </c>
      <c r="J18">
        <f t="shared" si="2"/>
        <v>3</v>
      </c>
      <c r="K18">
        <f t="shared" si="2"/>
        <v>1</v>
      </c>
    </row>
    <row r="19" spans="1:11" ht="16">
      <c r="A19" s="4" t="s">
        <v>14</v>
      </c>
      <c r="B19">
        <f t="shared" ref="B19:K19" si="3">_xlfn.IFNA(RANK(B5,$B5:$K5),10)</f>
        <v>4</v>
      </c>
      <c r="C19">
        <f t="shared" si="3"/>
        <v>5</v>
      </c>
      <c r="D19">
        <f t="shared" si="3"/>
        <v>7</v>
      </c>
      <c r="E19">
        <f t="shared" si="3"/>
        <v>6</v>
      </c>
      <c r="F19">
        <f t="shared" si="3"/>
        <v>10</v>
      </c>
      <c r="G19">
        <f t="shared" si="3"/>
        <v>9</v>
      </c>
      <c r="H19">
        <f t="shared" si="3"/>
        <v>2</v>
      </c>
      <c r="I19">
        <f t="shared" si="3"/>
        <v>8</v>
      </c>
      <c r="J19">
        <f t="shared" si="3"/>
        <v>3</v>
      </c>
      <c r="K19">
        <f t="shared" si="3"/>
        <v>1</v>
      </c>
    </row>
    <row r="20" spans="1:11" ht="16">
      <c r="A20" s="4" t="s">
        <v>15</v>
      </c>
      <c r="B20">
        <f t="shared" ref="B20:K20" si="4">_xlfn.IFNA(RANK(B6,$B6:$K6),10)</f>
        <v>8</v>
      </c>
      <c r="C20">
        <f t="shared" si="4"/>
        <v>9</v>
      </c>
      <c r="D20">
        <f t="shared" si="4"/>
        <v>5</v>
      </c>
      <c r="E20">
        <f t="shared" si="4"/>
        <v>10</v>
      </c>
      <c r="F20">
        <f t="shared" si="4"/>
        <v>4</v>
      </c>
      <c r="G20">
        <f t="shared" si="4"/>
        <v>7</v>
      </c>
      <c r="H20">
        <f t="shared" si="4"/>
        <v>2</v>
      </c>
      <c r="I20">
        <f t="shared" si="4"/>
        <v>6</v>
      </c>
      <c r="J20">
        <f t="shared" si="4"/>
        <v>3</v>
      </c>
      <c r="K20">
        <f t="shared" si="4"/>
        <v>1</v>
      </c>
    </row>
    <row r="21" spans="1:11" ht="16">
      <c r="A21" s="4" t="s">
        <v>16</v>
      </c>
      <c r="B21">
        <f t="shared" ref="B21:K21" si="5">_xlfn.IFNA(RANK(B7,$B7:$K7),10)</f>
        <v>3</v>
      </c>
      <c r="C21">
        <f t="shared" si="5"/>
        <v>5</v>
      </c>
      <c r="D21">
        <f t="shared" si="5"/>
        <v>4</v>
      </c>
      <c r="E21">
        <f t="shared" si="5"/>
        <v>10</v>
      </c>
      <c r="F21">
        <f t="shared" si="5"/>
        <v>9</v>
      </c>
      <c r="G21">
        <f t="shared" si="5"/>
        <v>2</v>
      </c>
      <c r="H21">
        <f t="shared" si="5"/>
        <v>7</v>
      </c>
      <c r="I21">
        <f t="shared" si="5"/>
        <v>8</v>
      </c>
      <c r="J21">
        <f t="shared" si="5"/>
        <v>6</v>
      </c>
      <c r="K21">
        <f t="shared" si="5"/>
        <v>1</v>
      </c>
    </row>
    <row r="22" spans="1:11" ht="16">
      <c r="A22" s="4" t="s">
        <v>17</v>
      </c>
      <c r="B22">
        <f t="shared" ref="B22:K22" si="6">_xlfn.IFNA(RANK(B8,$B8:$K8),10)</f>
        <v>5</v>
      </c>
      <c r="C22">
        <f t="shared" si="6"/>
        <v>2</v>
      </c>
      <c r="D22">
        <f t="shared" si="6"/>
        <v>10</v>
      </c>
      <c r="E22">
        <f t="shared" si="6"/>
        <v>7</v>
      </c>
      <c r="F22">
        <f t="shared" si="6"/>
        <v>10</v>
      </c>
      <c r="G22">
        <f t="shared" si="6"/>
        <v>10</v>
      </c>
      <c r="H22">
        <f t="shared" si="6"/>
        <v>6</v>
      </c>
      <c r="I22">
        <f t="shared" si="6"/>
        <v>1</v>
      </c>
      <c r="J22">
        <f t="shared" si="6"/>
        <v>3</v>
      </c>
      <c r="K22">
        <f t="shared" si="6"/>
        <v>4</v>
      </c>
    </row>
    <row r="23" spans="1:11" ht="16">
      <c r="A23" s="4" t="s">
        <v>18</v>
      </c>
      <c r="B23">
        <f t="shared" ref="B23:K23" si="7">_xlfn.IFNA(RANK(B9,$B9:$K9),10)</f>
        <v>2</v>
      </c>
      <c r="C23">
        <f t="shared" si="7"/>
        <v>7</v>
      </c>
      <c r="D23">
        <f t="shared" si="7"/>
        <v>4</v>
      </c>
      <c r="E23">
        <f t="shared" si="7"/>
        <v>10</v>
      </c>
      <c r="F23">
        <f t="shared" si="7"/>
        <v>9</v>
      </c>
      <c r="G23">
        <f t="shared" si="7"/>
        <v>6</v>
      </c>
      <c r="H23">
        <f t="shared" si="7"/>
        <v>3</v>
      </c>
      <c r="I23">
        <f t="shared" si="7"/>
        <v>8</v>
      </c>
      <c r="J23">
        <f t="shared" si="7"/>
        <v>5</v>
      </c>
      <c r="K23">
        <f t="shared" si="7"/>
        <v>1</v>
      </c>
    </row>
    <row r="24" spans="1:11" ht="16">
      <c r="A24" s="4" t="s">
        <v>19</v>
      </c>
      <c r="B24">
        <f t="shared" ref="B24:K24" si="8">_xlfn.IFNA(RANK(B10,$B10:$K10),10)</f>
        <v>7</v>
      </c>
      <c r="C24">
        <f t="shared" si="8"/>
        <v>9</v>
      </c>
      <c r="D24">
        <f t="shared" si="8"/>
        <v>5</v>
      </c>
      <c r="E24">
        <f t="shared" si="8"/>
        <v>10</v>
      </c>
      <c r="F24">
        <f t="shared" si="8"/>
        <v>8</v>
      </c>
      <c r="G24">
        <f t="shared" si="8"/>
        <v>3</v>
      </c>
      <c r="H24">
        <f t="shared" si="8"/>
        <v>4</v>
      </c>
      <c r="I24">
        <f t="shared" si="8"/>
        <v>6</v>
      </c>
      <c r="J24">
        <f t="shared" si="8"/>
        <v>2</v>
      </c>
      <c r="K24">
        <f t="shared" si="8"/>
        <v>1</v>
      </c>
    </row>
    <row r="25" spans="1:11" ht="16">
      <c r="A25" s="4" t="s">
        <v>20</v>
      </c>
      <c r="B25">
        <f t="shared" ref="B25:K25" si="9">_xlfn.IFNA(RANK(B11,$B11:$K11),10)</f>
        <v>1</v>
      </c>
      <c r="C25">
        <f t="shared" si="9"/>
        <v>6</v>
      </c>
      <c r="D25">
        <f t="shared" si="9"/>
        <v>8</v>
      </c>
      <c r="E25">
        <f t="shared" si="9"/>
        <v>10</v>
      </c>
      <c r="F25">
        <f t="shared" si="9"/>
        <v>7</v>
      </c>
      <c r="G25">
        <f t="shared" si="9"/>
        <v>9</v>
      </c>
      <c r="H25">
        <f t="shared" si="9"/>
        <v>3</v>
      </c>
      <c r="I25">
        <f t="shared" si="9"/>
        <v>5</v>
      </c>
      <c r="J25">
        <f t="shared" si="9"/>
        <v>4</v>
      </c>
      <c r="K25">
        <f t="shared" si="9"/>
        <v>2</v>
      </c>
    </row>
    <row r="26" spans="1:11" ht="16">
      <c r="A26" s="4" t="s">
        <v>21</v>
      </c>
      <c r="B26">
        <f t="shared" ref="B26:K26" si="10">_xlfn.IFNA(RANK(B12,$B12:$K12),10)</f>
        <v>9</v>
      </c>
      <c r="C26">
        <f t="shared" si="10"/>
        <v>3</v>
      </c>
      <c r="D26">
        <f t="shared" si="10"/>
        <v>4</v>
      </c>
      <c r="E26">
        <f t="shared" si="10"/>
        <v>10</v>
      </c>
      <c r="F26">
        <f t="shared" si="10"/>
        <v>7</v>
      </c>
      <c r="G26">
        <f t="shared" si="10"/>
        <v>5</v>
      </c>
      <c r="H26">
        <f t="shared" si="10"/>
        <v>2</v>
      </c>
      <c r="I26">
        <f t="shared" si="10"/>
        <v>8</v>
      </c>
      <c r="J26">
        <f t="shared" si="10"/>
        <v>6</v>
      </c>
      <c r="K26">
        <f t="shared" si="10"/>
        <v>1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="97" zoomScaleNormal="97" workbookViewId="0">
      <selection activeCell="C29" sqref="C29"/>
    </sheetView>
  </sheetViews>
  <sheetFormatPr baseColWidth="10" defaultColWidth="9.1640625" defaultRowHeight="14"/>
  <cols>
    <col min="1" max="1" width="10.6640625" customWidth="1"/>
    <col min="2" max="2" width="14.33203125" customWidth="1"/>
    <col min="3" max="3" width="12.6640625" customWidth="1"/>
    <col min="4" max="4" width="15" customWidth="1"/>
    <col min="5" max="5" width="14.6640625" customWidth="1"/>
    <col min="6" max="6" width="23.1640625" customWidth="1"/>
    <col min="7" max="7" width="8.6640625" customWidth="1"/>
    <col min="8" max="8" width="11" customWidth="1"/>
    <col min="9" max="9" width="10.5" customWidth="1"/>
    <col min="10" max="10" width="10.33203125" customWidth="1"/>
  </cols>
  <sheetData>
    <row r="1" spans="1:11" ht="16">
      <c r="A1" s="1" t="s">
        <v>25</v>
      </c>
      <c r="B1" s="1"/>
      <c r="C1" s="1"/>
      <c r="D1" s="1"/>
      <c r="E1" s="1"/>
      <c r="F1" s="1"/>
      <c r="G1" s="1"/>
    </row>
    <row r="2" spans="1:11" ht="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t="s">
        <v>11</v>
      </c>
    </row>
    <row r="3" spans="1:11" ht="16">
      <c r="A3" s="4" t="s">
        <v>12</v>
      </c>
      <c r="B3" s="5">
        <v>0.33916349809885898</v>
      </c>
      <c r="C3" s="5">
        <v>0.262357414448669</v>
      </c>
      <c r="D3" s="5">
        <v>0.37490494296577898</v>
      </c>
      <c r="E3" s="5">
        <v>0.23726235741444801</v>
      </c>
      <c r="F3" s="5">
        <v>0.30798479087452402</v>
      </c>
      <c r="G3" s="5">
        <v>0.37110266159695798</v>
      </c>
      <c r="H3" s="6">
        <v>0.283650190114068</v>
      </c>
      <c r="I3" s="6">
        <v>0.26311787072243298</v>
      </c>
      <c r="J3" s="6">
        <v>0.304942965779467</v>
      </c>
      <c r="K3" s="7">
        <v>0.31790000000000002</v>
      </c>
    </row>
    <row r="4" spans="1:11" ht="16">
      <c r="A4" s="4" t="s">
        <v>13</v>
      </c>
      <c r="B4" s="5">
        <v>0.57111237230419898</v>
      </c>
      <c r="C4" s="5">
        <v>0.65317820658342796</v>
      </c>
      <c r="D4" s="5">
        <v>0.59994324631101004</v>
      </c>
      <c r="E4" s="5">
        <v>0.49943246311010198</v>
      </c>
      <c r="F4" s="5"/>
      <c r="G4" s="5">
        <v>0.54211123723041899</v>
      </c>
      <c r="H4" s="6">
        <v>0.65164585698070299</v>
      </c>
      <c r="I4" s="6">
        <v>0.66520998864926195</v>
      </c>
      <c r="J4" s="6">
        <v>0.66061293984108904</v>
      </c>
      <c r="K4" s="7">
        <v>0.68269999999999997</v>
      </c>
    </row>
    <row r="5" spans="1:11" ht="16">
      <c r="A5" s="4" t="s">
        <v>14</v>
      </c>
      <c r="B5" s="5">
        <v>0.73853658536585298</v>
      </c>
      <c r="C5" s="5">
        <v>0.73170731707317005</v>
      </c>
      <c r="D5" s="5">
        <v>0.66731707317073097</v>
      </c>
      <c r="E5" s="5">
        <v>0.70439024390243798</v>
      </c>
      <c r="F5" s="5">
        <v>0.68292682926829196</v>
      </c>
      <c r="G5" s="5">
        <v>0.64487804878048705</v>
      </c>
      <c r="H5" s="6">
        <v>0.77756097560975601</v>
      </c>
      <c r="I5" s="6">
        <v>0.66048780487804803</v>
      </c>
      <c r="J5" s="6">
        <v>0.76585365853658505</v>
      </c>
      <c r="K5" s="7">
        <v>0.79510000000000003</v>
      </c>
    </row>
    <row r="6" spans="1:11" ht="16">
      <c r="A6" s="4" t="s">
        <v>15</v>
      </c>
      <c r="B6" s="5">
        <v>0.244705882352941</v>
      </c>
      <c r="C6" s="5">
        <v>0.20494117647058799</v>
      </c>
      <c r="D6" s="5">
        <v>0.27317647058823502</v>
      </c>
      <c r="E6" s="5">
        <v>9.6941176470588197E-2</v>
      </c>
      <c r="F6" s="5">
        <v>0.33176470588235202</v>
      </c>
      <c r="G6" s="5">
        <v>0.26</v>
      </c>
      <c r="H6" s="6">
        <v>0.40305882352941103</v>
      </c>
      <c r="I6" s="6">
        <v>0.26964705882352902</v>
      </c>
      <c r="J6" s="6">
        <v>0.32658823529411701</v>
      </c>
      <c r="K6" s="7">
        <v>0.41839999999999999</v>
      </c>
    </row>
    <row r="7" spans="1:11" ht="16">
      <c r="A7" s="4" t="s">
        <v>16</v>
      </c>
      <c r="B7" s="5">
        <v>0.98108108108108105</v>
      </c>
      <c r="C7" s="5">
        <v>0.97891891891891802</v>
      </c>
      <c r="D7" s="5">
        <v>0.98</v>
      </c>
      <c r="E7" s="5">
        <v>0.69567567567567501</v>
      </c>
      <c r="F7" s="5">
        <v>0.91081081081080995</v>
      </c>
      <c r="G7" s="5">
        <v>0.98108108108108105</v>
      </c>
      <c r="H7" s="6">
        <v>0.97459459459459397</v>
      </c>
      <c r="I7" s="6">
        <v>0.95189189189189105</v>
      </c>
      <c r="J7" s="6">
        <v>0.97675675675675599</v>
      </c>
      <c r="K7" s="7">
        <v>0.98270000000000002</v>
      </c>
    </row>
    <row r="8" spans="1:11" ht="16">
      <c r="A8" s="4" t="s">
        <v>17</v>
      </c>
      <c r="B8" s="5">
        <v>0.83236994219653104</v>
      </c>
      <c r="C8" s="5">
        <v>0.85549132947976803</v>
      </c>
      <c r="D8" s="5"/>
      <c r="E8" s="5">
        <v>0.76763005780346805</v>
      </c>
      <c r="F8" s="5"/>
      <c r="G8" s="5"/>
      <c r="H8" s="6">
        <v>0.76531791907514402</v>
      </c>
      <c r="I8" s="6">
        <v>0.85433526011560701</v>
      </c>
      <c r="J8" s="6">
        <v>0.83930635838150203</v>
      </c>
      <c r="K8" s="7">
        <v>0.83579999999999999</v>
      </c>
    </row>
    <row r="9" spans="1:11" ht="16">
      <c r="A9" s="4" t="s">
        <v>18</v>
      </c>
      <c r="B9" s="5">
        <v>0.99172351068667497</v>
      </c>
      <c r="C9" s="5">
        <v>0.98290131878126397</v>
      </c>
      <c r="D9" s="5">
        <v>0.99072305593451504</v>
      </c>
      <c r="E9" s="5">
        <v>0.53206002728512902</v>
      </c>
      <c r="F9" s="5">
        <v>0.97316962255570705</v>
      </c>
      <c r="G9" s="5">
        <v>0.98717598908594795</v>
      </c>
      <c r="H9" s="6">
        <v>0.99126875852660301</v>
      </c>
      <c r="I9" s="6">
        <v>0.97517053206002702</v>
      </c>
      <c r="J9" s="6">
        <v>0.98881309686220997</v>
      </c>
      <c r="K9" s="7">
        <v>0.99650000000000005</v>
      </c>
    </row>
    <row r="10" spans="1:11" ht="16">
      <c r="A10" s="4" t="s">
        <v>19</v>
      </c>
      <c r="B10" s="5">
        <v>0.81843003412969295</v>
      </c>
      <c r="C10" s="5">
        <v>0.75563139931740597</v>
      </c>
      <c r="D10" s="5">
        <v>0.88191126279863397</v>
      </c>
      <c r="E10" s="5">
        <v>0.59999999999999898</v>
      </c>
      <c r="F10" s="5">
        <v>0.77815699658702997</v>
      </c>
      <c r="G10" s="5">
        <v>0.89556313993173997</v>
      </c>
      <c r="H10" s="6">
        <v>0.87781569965870299</v>
      </c>
      <c r="I10" s="6">
        <v>0.83617747440273005</v>
      </c>
      <c r="J10" s="6">
        <v>0.90443686006825896</v>
      </c>
      <c r="K10" s="7">
        <v>0.92420000000000002</v>
      </c>
    </row>
    <row r="11" spans="1:11" ht="16">
      <c r="A11" s="4" t="s">
        <v>20</v>
      </c>
      <c r="B11" s="5">
        <v>0.586666666666666</v>
      </c>
      <c r="C11" s="5">
        <v>0.491111111111111</v>
      </c>
      <c r="D11" s="5">
        <v>0.48777777777777698</v>
      </c>
      <c r="E11" s="5">
        <v>0.47888888888888798</v>
      </c>
      <c r="F11" s="5">
        <v>0.48888888888888798</v>
      </c>
      <c r="G11" s="5">
        <v>0.47888888888888798</v>
      </c>
      <c r="H11" s="6">
        <v>0.56999999999999895</v>
      </c>
      <c r="I11" s="6">
        <v>0.50555555555555498</v>
      </c>
      <c r="J11" s="6">
        <v>0.55555555555555503</v>
      </c>
      <c r="K11" s="7">
        <v>0.58330000000000004</v>
      </c>
    </row>
    <row r="12" spans="1:11" ht="16">
      <c r="A12" s="4" t="s">
        <v>21</v>
      </c>
      <c r="B12" s="5">
        <v>0.82187500000000002</v>
      </c>
      <c r="C12" s="5">
        <v>0.89</v>
      </c>
      <c r="D12" s="5">
        <v>0.86875000000000002</v>
      </c>
      <c r="E12" s="5">
        <v>0.41562500000000002</v>
      </c>
      <c r="F12" s="5">
        <v>0.85624999999999996</v>
      </c>
      <c r="G12" s="5">
        <v>0.864375</v>
      </c>
      <c r="H12" s="6">
        <v>0.91187499999999999</v>
      </c>
      <c r="I12" s="6">
        <v>0.84499999999999997</v>
      </c>
      <c r="J12" s="6">
        <v>0.86875000000000002</v>
      </c>
      <c r="K12" s="7">
        <v>0.9194</v>
      </c>
    </row>
    <row r="13" spans="1:11">
      <c r="A13" s="8" t="s">
        <v>22</v>
      </c>
      <c r="B13" s="6">
        <f t="shared" ref="B13:K13" si="0">SUM(B17:B26)/10</f>
        <v>4.8</v>
      </c>
      <c r="C13" s="6">
        <f t="shared" si="0"/>
        <v>5.8</v>
      </c>
      <c r="D13" s="6">
        <f t="shared" si="0"/>
        <v>5.4</v>
      </c>
      <c r="E13" s="6">
        <f t="shared" si="0"/>
        <v>9</v>
      </c>
      <c r="F13" s="6">
        <f t="shared" si="0"/>
        <v>7.5</v>
      </c>
      <c r="G13" s="6">
        <f t="shared" si="0"/>
        <v>6.3</v>
      </c>
      <c r="H13" s="6">
        <f t="shared" si="0"/>
        <v>4.3</v>
      </c>
      <c r="I13" s="6">
        <f t="shared" si="0"/>
        <v>6.2</v>
      </c>
      <c r="J13" s="6">
        <f t="shared" si="0"/>
        <v>4</v>
      </c>
      <c r="K13" s="6">
        <f t="shared" si="0"/>
        <v>1.7</v>
      </c>
    </row>
    <row r="14" spans="1:11">
      <c r="A14" s="8"/>
      <c r="B14" s="6"/>
      <c r="C14" s="6"/>
      <c r="D14" s="6"/>
    </row>
    <row r="16" spans="1:11">
      <c r="A16" t="s">
        <v>23</v>
      </c>
    </row>
    <row r="17" spans="1:11" ht="16">
      <c r="A17" s="4" t="s">
        <v>12</v>
      </c>
      <c r="B17">
        <f t="shared" ref="B17:K17" si="1">_xlfn.IFNA(RANK(B3,$B3:$K3),10)</f>
        <v>3</v>
      </c>
      <c r="C17">
        <f t="shared" si="1"/>
        <v>9</v>
      </c>
      <c r="D17">
        <f t="shared" si="1"/>
        <v>1</v>
      </c>
      <c r="E17">
        <f t="shared" si="1"/>
        <v>10</v>
      </c>
      <c r="F17">
        <f t="shared" si="1"/>
        <v>5</v>
      </c>
      <c r="G17">
        <f t="shared" si="1"/>
        <v>2</v>
      </c>
      <c r="H17">
        <f t="shared" si="1"/>
        <v>7</v>
      </c>
      <c r="I17">
        <f t="shared" si="1"/>
        <v>8</v>
      </c>
      <c r="J17">
        <f t="shared" si="1"/>
        <v>6</v>
      </c>
      <c r="K17">
        <f t="shared" si="1"/>
        <v>4</v>
      </c>
    </row>
    <row r="18" spans="1:11" ht="16">
      <c r="A18" s="4" t="s">
        <v>13</v>
      </c>
      <c r="B18">
        <f t="shared" ref="B18:K18" si="2">_xlfn.IFNA(RANK(B4,$B4:$K4),10)</f>
        <v>7</v>
      </c>
      <c r="C18">
        <f t="shared" si="2"/>
        <v>4</v>
      </c>
      <c r="D18">
        <f t="shared" si="2"/>
        <v>6</v>
      </c>
      <c r="E18">
        <f t="shared" si="2"/>
        <v>9</v>
      </c>
      <c r="F18">
        <f t="shared" si="2"/>
        <v>10</v>
      </c>
      <c r="G18">
        <f t="shared" si="2"/>
        <v>8</v>
      </c>
      <c r="H18">
        <f t="shared" si="2"/>
        <v>5</v>
      </c>
      <c r="I18">
        <f t="shared" si="2"/>
        <v>2</v>
      </c>
      <c r="J18">
        <f t="shared" si="2"/>
        <v>3</v>
      </c>
      <c r="K18">
        <f t="shared" si="2"/>
        <v>1</v>
      </c>
    </row>
    <row r="19" spans="1:11" ht="16">
      <c r="A19" s="4" t="s">
        <v>14</v>
      </c>
      <c r="B19">
        <f t="shared" ref="B19:K19" si="3">_xlfn.IFNA(RANK(B5,$B5:$K5),10)</f>
        <v>4</v>
      </c>
      <c r="C19">
        <f t="shared" si="3"/>
        <v>5</v>
      </c>
      <c r="D19">
        <f t="shared" si="3"/>
        <v>8</v>
      </c>
      <c r="E19">
        <f t="shared" si="3"/>
        <v>6</v>
      </c>
      <c r="F19">
        <f t="shared" si="3"/>
        <v>7</v>
      </c>
      <c r="G19">
        <f t="shared" si="3"/>
        <v>10</v>
      </c>
      <c r="H19">
        <f t="shared" si="3"/>
        <v>2</v>
      </c>
      <c r="I19">
        <f t="shared" si="3"/>
        <v>9</v>
      </c>
      <c r="J19">
        <f t="shared" si="3"/>
        <v>3</v>
      </c>
      <c r="K19">
        <f t="shared" si="3"/>
        <v>1</v>
      </c>
    </row>
    <row r="20" spans="1:11" ht="16">
      <c r="A20" s="4" t="s">
        <v>15</v>
      </c>
      <c r="B20">
        <f t="shared" ref="B20:K20" si="4">_xlfn.IFNA(RANK(B6,$B6:$K6),10)</f>
        <v>8</v>
      </c>
      <c r="C20">
        <f t="shared" si="4"/>
        <v>9</v>
      </c>
      <c r="D20">
        <f t="shared" si="4"/>
        <v>5</v>
      </c>
      <c r="E20">
        <f t="shared" si="4"/>
        <v>10</v>
      </c>
      <c r="F20">
        <f t="shared" si="4"/>
        <v>3</v>
      </c>
      <c r="G20">
        <f t="shared" si="4"/>
        <v>7</v>
      </c>
      <c r="H20">
        <f t="shared" si="4"/>
        <v>2</v>
      </c>
      <c r="I20">
        <f t="shared" si="4"/>
        <v>6</v>
      </c>
      <c r="J20">
        <f t="shared" si="4"/>
        <v>4</v>
      </c>
      <c r="K20">
        <f t="shared" si="4"/>
        <v>1</v>
      </c>
    </row>
    <row r="21" spans="1:11" ht="16">
      <c r="A21" s="4" t="s">
        <v>16</v>
      </c>
      <c r="B21">
        <f t="shared" ref="B21:K21" si="5">_xlfn.IFNA(RANK(B7,$B7:$K7),10)</f>
        <v>2</v>
      </c>
      <c r="C21">
        <f t="shared" si="5"/>
        <v>5</v>
      </c>
      <c r="D21">
        <f t="shared" si="5"/>
        <v>4</v>
      </c>
      <c r="E21">
        <f t="shared" si="5"/>
        <v>10</v>
      </c>
      <c r="F21">
        <f t="shared" si="5"/>
        <v>9</v>
      </c>
      <c r="G21">
        <f t="shared" si="5"/>
        <v>2</v>
      </c>
      <c r="H21">
        <f t="shared" si="5"/>
        <v>7</v>
      </c>
      <c r="I21">
        <f t="shared" si="5"/>
        <v>8</v>
      </c>
      <c r="J21">
        <f t="shared" si="5"/>
        <v>6</v>
      </c>
      <c r="K21">
        <f t="shared" si="5"/>
        <v>1</v>
      </c>
    </row>
    <row r="22" spans="1:11" ht="16">
      <c r="A22" s="4" t="s">
        <v>17</v>
      </c>
      <c r="B22">
        <f t="shared" ref="B22:K22" si="6">_xlfn.IFNA(RANK(B8,$B8:$K8),10)</f>
        <v>5</v>
      </c>
      <c r="C22">
        <f t="shared" si="6"/>
        <v>1</v>
      </c>
      <c r="D22">
        <f t="shared" si="6"/>
        <v>10</v>
      </c>
      <c r="E22">
        <f t="shared" si="6"/>
        <v>6</v>
      </c>
      <c r="F22">
        <f t="shared" si="6"/>
        <v>10</v>
      </c>
      <c r="G22">
        <f t="shared" si="6"/>
        <v>10</v>
      </c>
      <c r="H22">
        <f t="shared" si="6"/>
        <v>7</v>
      </c>
      <c r="I22">
        <f t="shared" si="6"/>
        <v>2</v>
      </c>
      <c r="J22">
        <f t="shared" si="6"/>
        <v>3</v>
      </c>
      <c r="K22">
        <f t="shared" si="6"/>
        <v>4</v>
      </c>
    </row>
    <row r="23" spans="1:11" ht="16">
      <c r="A23" s="4" t="s">
        <v>18</v>
      </c>
      <c r="B23">
        <f t="shared" ref="B23:K23" si="7">_xlfn.IFNA(RANK(B9,$B9:$K9),10)</f>
        <v>2</v>
      </c>
      <c r="C23">
        <f t="shared" si="7"/>
        <v>7</v>
      </c>
      <c r="D23">
        <f t="shared" si="7"/>
        <v>4</v>
      </c>
      <c r="E23">
        <f t="shared" si="7"/>
        <v>10</v>
      </c>
      <c r="F23">
        <f t="shared" si="7"/>
        <v>9</v>
      </c>
      <c r="G23">
        <f t="shared" si="7"/>
        <v>6</v>
      </c>
      <c r="H23">
        <f t="shared" si="7"/>
        <v>3</v>
      </c>
      <c r="I23">
        <f t="shared" si="7"/>
        <v>8</v>
      </c>
      <c r="J23">
        <f t="shared" si="7"/>
        <v>5</v>
      </c>
      <c r="K23">
        <f t="shared" si="7"/>
        <v>1</v>
      </c>
    </row>
    <row r="24" spans="1:11" ht="16">
      <c r="A24" s="4" t="s">
        <v>19</v>
      </c>
      <c r="B24">
        <f t="shared" ref="B24:K24" si="8">_xlfn.IFNA(RANK(B10,$B10:$K10),10)</f>
        <v>7</v>
      </c>
      <c r="C24">
        <f t="shared" si="8"/>
        <v>9</v>
      </c>
      <c r="D24">
        <f t="shared" si="8"/>
        <v>4</v>
      </c>
      <c r="E24">
        <f t="shared" si="8"/>
        <v>10</v>
      </c>
      <c r="F24">
        <f t="shared" si="8"/>
        <v>8</v>
      </c>
      <c r="G24">
        <f t="shared" si="8"/>
        <v>3</v>
      </c>
      <c r="H24">
        <f t="shared" si="8"/>
        <v>5</v>
      </c>
      <c r="I24">
        <f t="shared" si="8"/>
        <v>6</v>
      </c>
      <c r="J24">
        <f t="shared" si="8"/>
        <v>2</v>
      </c>
      <c r="K24">
        <f t="shared" si="8"/>
        <v>1</v>
      </c>
    </row>
    <row r="25" spans="1:11" ht="16">
      <c r="A25" s="4" t="s">
        <v>20</v>
      </c>
      <c r="B25">
        <f t="shared" ref="B25:K25" si="9">_xlfn.IFNA(RANK(B11,$B11:$K11),10)</f>
        <v>1</v>
      </c>
      <c r="C25">
        <f t="shared" si="9"/>
        <v>6</v>
      </c>
      <c r="D25">
        <f t="shared" si="9"/>
        <v>8</v>
      </c>
      <c r="E25">
        <f t="shared" si="9"/>
        <v>9</v>
      </c>
      <c r="F25">
        <f t="shared" si="9"/>
        <v>7</v>
      </c>
      <c r="G25">
        <f t="shared" si="9"/>
        <v>9</v>
      </c>
      <c r="H25">
        <f t="shared" si="9"/>
        <v>3</v>
      </c>
      <c r="I25">
        <f t="shared" si="9"/>
        <v>5</v>
      </c>
      <c r="J25">
        <f t="shared" si="9"/>
        <v>4</v>
      </c>
      <c r="K25">
        <f t="shared" si="9"/>
        <v>2</v>
      </c>
    </row>
    <row r="26" spans="1:11" ht="16">
      <c r="A26" s="4" t="s">
        <v>21</v>
      </c>
      <c r="B26">
        <f t="shared" ref="B26:K26" si="10">_xlfn.IFNA(RANK(B12,$B12:$K12),10)</f>
        <v>9</v>
      </c>
      <c r="C26">
        <f t="shared" si="10"/>
        <v>3</v>
      </c>
      <c r="D26">
        <f t="shared" si="10"/>
        <v>4</v>
      </c>
      <c r="E26">
        <f t="shared" si="10"/>
        <v>10</v>
      </c>
      <c r="F26">
        <f t="shared" si="10"/>
        <v>7</v>
      </c>
      <c r="G26">
        <f t="shared" si="10"/>
        <v>6</v>
      </c>
      <c r="H26">
        <f t="shared" si="10"/>
        <v>2</v>
      </c>
      <c r="I26">
        <f t="shared" si="10"/>
        <v>8</v>
      </c>
      <c r="J26">
        <f t="shared" si="10"/>
        <v>4</v>
      </c>
      <c r="K26">
        <f t="shared" si="10"/>
        <v>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F1V2</vt:lpstr>
      <vt:lpstr>PrecV2</vt:lpstr>
      <vt:lpstr>RecallV2</vt:lpstr>
      <vt:lpstr>F1</vt:lpstr>
      <vt:lpstr>Prec</vt:lpstr>
      <vt:lpstr>Recall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sunwu</dc:creator>
  <cp:lastModifiedBy>孙武</cp:lastModifiedBy>
  <dcterms:created xsi:type="dcterms:W3CDTF">2026-06-17T10:45:00Z</dcterms:created>
  <dcterms:modified xsi:type="dcterms:W3CDTF">2026-06-21T07:14:18Z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BF256BBEC6213DE02F672F6AF632D0EE_41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