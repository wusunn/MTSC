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940" windowHeight="13960" activeTab="2"/>
  </bookViews>
  <sheets>
    <sheet name="F1" sheetId="6" r:id="rId1"/>
    <sheet name="Prec" sheetId="7" r:id="rId2"/>
    <sheet name="Recall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<sst xmlns="http://schemas.openxmlformats.org/spreadsheetml/2006/main" count="102" uniqueCount="26">
  <si>
    <t>F1</t>
  </si>
  <si>
    <t>行标签</t>
  </si>
  <si>
    <t>ConvTimeNet</t>
  </si>
  <si>
    <t>FormerTime</t>
  </si>
  <si>
    <t>InceptionTime</t>
  </si>
  <si>
    <t>IndividualTDE</t>
  </si>
  <si>
    <t>KNeighborsTimeSeries</t>
  </si>
  <si>
    <t>ResNet</t>
  </si>
  <si>
    <t>MambaSL</t>
  </si>
  <si>
    <t>PatchTST</t>
  </si>
  <si>
    <t>TimesNet</t>
  </si>
  <si>
    <t>Ours</t>
  </si>
  <si>
    <t>EC</t>
  </si>
  <si>
    <t>FD</t>
  </si>
  <si>
    <t>HB</t>
  </si>
  <si>
    <t>HW</t>
  </si>
  <si>
    <t>JV</t>
  </si>
  <si>
    <t>PEMS-SF</t>
  </si>
  <si>
    <t>SAD</t>
  </si>
  <si>
    <t>SRS1</t>
  </si>
  <si>
    <t>SRS2</t>
  </si>
  <si>
    <t>UWG</t>
  </si>
  <si>
    <t>Avg Rank</t>
  </si>
  <si>
    <t>Rank</t>
  </si>
  <si>
    <t>Prec</t>
  </si>
  <si>
    <t>Recall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</si>
</sst>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</numFmts>
  <fonts count="25">
    <font>
      <sz val="11"/>
      <color theme="1"/>
      <name val="宋体"/>
      <charset val="134"/>
      <scheme val="minor"/>
    </font>
    <font>
      <b/>
      <sz val="12"/>
      <color rgb="FF000000"/>
      <name val="等线"/>
      <charset val="134"/>
    </font>
    <font>
      <b/>
      <sz val="11"/>
      <color theme="1"/>
      <name val="宋体"/>
      <charset val="134"/>
      <scheme val="minor"/>
    </font>
    <font>
      <sz val="12"/>
      <color rgb="FF000000"/>
      <name val="等线"/>
      <charset val="134"/>
    </font>
    <font>
      <sz val="12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8EA9DB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1" fillId="2" borderId="1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0" borderId="0" xfId="0" applyFont="1" applyAlignment="1">
      <alignment horizontal="left" vertical="center"/>
    </xf>
    <xf numFmtId="176" fontId="4" fillId="0" borderId="0" xfId="0" applyNumberFormat="1" applyFont="1" applyFill="1" applyAlignme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zoomScale="120" zoomScaleNormal="120" workbookViewId="0">
      <selection activeCell="K13" sqref="A2:K13"/>
    </sheetView>
  </sheetViews>
  <sheetFormatPr defaultColWidth="11" defaultRowHeight="16.8"/>
  <cols>
    <col min="1" max="1" width="10.6923076923077" customWidth="1"/>
    <col min="2" max="2" width="14.3076923076923" customWidth="1"/>
    <col min="3" max="3" width="12.6153846153846" customWidth="1"/>
    <col min="4" max="4" width="15.0769230769231" customWidth="1"/>
    <col min="5" max="5" width="14.6923076923077" customWidth="1"/>
    <col min="6" max="6" width="23.1538461538462" customWidth="1"/>
    <col min="7" max="7" width="8.69230769230769" customWidth="1"/>
    <col min="8" max="8" width="10.9230769230769" customWidth="1"/>
    <col min="9" max="9" width="10.4615384615385" customWidth="1"/>
    <col min="10" max="10" width="10.3846153846154" customWidth="1"/>
  </cols>
  <sheetData>
    <row r="1" ht="17.6" spans="1:11">
      <c r="A1" s="1" t="s">
        <v>0</v>
      </c>
      <c r="B1" s="1"/>
      <c r="C1" s="1"/>
      <c r="D1" s="1"/>
      <c r="E1" s="1"/>
      <c r="F1" s="1"/>
      <c r="G1" s="1"/>
    </row>
    <row r="2" ht="17.6" spans="1:1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 t="s">
        <v>9</v>
      </c>
      <c r="J2" s="3" t="s">
        <v>10</v>
      </c>
      <c r="K2" t="s">
        <v>11</v>
      </c>
    </row>
    <row r="3" ht="17.6" spans="1:11">
      <c r="A3" s="4" t="s">
        <v>12</v>
      </c>
      <c r="B3" s="5">
        <v>0.290735772272735</v>
      </c>
      <c r="C3" s="5">
        <v>0.182418360556114</v>
      </c>
      <c r="D3" s="5">
        <v>0.370086479711832</v>
      </c>
      <c r="E3" s="5">
        <v>0.234435352803713</v>
      </c>
      <c r="F3" s="5">
        <v>0.307965440842113</v>
      </c>
      <c r="G3" s="5">
        <v>0.349180938866396</v>
      </c>
      <c r="H3" s="6">
        <v>0.257418475559312</v>
      </c>
      <c r="I3" s="6">
        <v>0.220976587842457</v>
      </c>
      <c r="J3" s="6">
        <v>0.255437385124617</v>
      </c>
      <c r="K3" s="7">
        <v>0.3062</v>
      </c>
    </row>
    <row r="4" ht="17.6" spans="1:11">
      <c r="A4" s="4" t="s">
        <v>13</v>
      </c>
      <c r="B4" s="5">
        <v>0.570675008929852</v>
      </c>
      <c r="C4" s="5">
        <v>0.653086909710686</v>
      </c>
      <c r="D4" s="5">
        <v>0.59981564263385</v>
      </c>
      <c r="E4" s="5">
        <v>0.499399306457916</v>
      </c>
      <c r="F4" s="5"/>
      <c r="G4" s="5">
        <v>0.527331297666993</v>
      </c>
      <c r="H4" s="6">
        <v>0.650625395905054</v>
      </c>
      <c r="I4" s="6">
        <v>0.664623623838512</v>
      </c>
      <c r="J4" s="6">
        <v>0.659724675544702</v>
      </c>
      <c r="K4" s="7">
        <v>0.6819</v>
      </c>
    </row>
    <row r="5" ht="17.6" spans="1:11">
      <c r="A5" s="4" t="s">
        <v>14</v>
      </c>
      <c r="B5" s="5">
        <v>0.724938912889254</v>
      </c>
      <c r="C5" s="5">
        <v>0.721355429129395</v>
      </c>
      <c r="D5" s="5">
        <v>0.665860893743947</v>
      </c>
      <c r="E5" s="5">
        <v>0.688343202802219</v>
      </c>
      <c r="F5" s="5">
        <v>0.629452788848895</v>
      </c>
      <c r="G5" s="5">
        <v>0.641042797796122</v>
      </c>
      <c r="H5" s="6">
        <v>0.7709838526833</v>
      </c>
      <c r="I5" s="6">
        <v>0.653499383288176</v>
      </c>
      <c r="J5" s="6">
        <v>0.732783968310113</v>
      </c>
      <c r="K5" s="7">
        <v>0.7818</v>
      </c>
    </row>
    <row r="6" ht="17.6" spans="1:11">
      <c r="A6" s="4" t="s">
        <v>15</v>
      </c>
      <c r="B6" s="5">
        <v>0.21154719374797</v>
      </c>
      <c r="C6" s="5">
        <v>0.174866885983225</v>
      </c>
      <c r="D6" s="5">
        <v>0.243958545264983</v>
      </c>
      <c r="E6" s="5">
        <v>0.0957377459969095</v>
      </c>
      <c r="F6" s="5">
        <v>0.313460607250237</v>
      </c>
      <c r="G6" s="5">
        <v>0.246465993179869</v>
      </c>
      <c r="H6" s="6">
        <v>0.37103606819473</v>
      </c>
      <c r="I6" s="6">
        <v>0.255416230053439</v>
      </c>
      <c r="J6" s="6">
        <v>0.304138216197549</v>
      </c>
      <c r="K6" s="7">
        <v>0.3957</v>
      </c>
    </row>
    <row r="7" ht="17.6" spans="1:11">
      <c r="A7" s="4" t="s">
        <v>16</v>
      </c>
      <c r="B7" s="5">
        <v>0.981083787599641</v>
      </c>
      <c r="C7" s="5">
        <v>0.978936292264671</v>
      </c>
      <c r="D7" s="5">
        <v>0.98013352740756</v>
      </c>
      <c r="E7" s="5">
        <v>0.70193564643135</v>
      </c>
      <c r="F7" s="5">
        <v>0.910767241490622</v>
      </c>
      <c r="G7" s="5">
        <v>0.981264144879912</v>
      </c>
      <c r="H7" s="6">
        <v>0.974727202068643</v>
      </c>
      <c r="I7" s="6">
        <v>0.952219721923519</v>
      </c>
      <c r="J7" s="6">
        <v>0.976771336047927</v>
      </c>
      <c r="K7" s="7">
        <v>0.9828</v>
      </c>
    </row>
    <row r="8" ht="17.6" spans="1:11">
      <c r="A8" s="4" t="s">
        <v>17</v>
      </c>
      <c r="B8" s="5">
        <v>0.828650847528709</v>
      </c>
      <c r="C8" s="5">
        <v>0.854546536267009</v>
      </c>
      <c r="D8" s="5"/>
      <c r="E8" s="5">
        <v>0.769107875961365</v>
      </c>
      <c r="F8" s="5"/>
      <c r="G8" s="5"/>
      <c r="H8" s="6">
        <v>0.765967703865324</v>
      </c>
      <c r="I8" s="6">
        <v>0.856022254150792</v>
      </c>
      <c r="J8" s="6">
        <v>0.839170725489192</v>
      </c>
      <c r="K8" s="7">
        <v>0.8362</v>
      </c>
    </row>
    <row r="9" ht="17.6" spans="1:11">
      <c r="A9" s="4" t="s">
        <v>18</v>
      </c>
      <c r="B9" s="5">
        <v>0.991726658199298</v>
      </c>
      <c r="C9" s="5">
        <v>0.98287272906509</v>
      </c>
      <c r="D9" s="5">
        <v>0.990713701430398</v>
      </c>
      <c r="E9" s="5">
        <v>0.529809042080487</v>
      </c>
      <c r="F9" s="5">
        <v>0.97325570132208</v>
      </c>
      <c r="G9" s="5">
        <v>0.987172665212886</v>
      </c>
      <c r="H9" s="6">
        <v>0.991275031558086</v>
      </c>
      <c r="I9" s="6">
        <v>0.975168941327908</v>
      </c>
      <c r="J9" s="6">
        <v>0.988797238398018</v>
      </c>
      <c r="K9" s="7">
        <v>0.9965</v>
      </c>
    </row>
    <row r="10" ht="17.6" spans="1:11">
      <c r="A10" s="4" t="s">
        <v>19</v>
      </c>
      <c r="B10" s="5">
        <v>0.817402011215574</v>
      </c>
      <c r="C10" s="5">
        <v>0.744080639681733</v>
      </c>
      <c r="D10" s="5">
        <v>0.881822010694043</v>
      </c>
      <c r="E10" s="5">
        <v>0.542893480160721</v>
      </c>
      <c r="F10" s="5">
        <v>0.771911563059862</v>
      </c>
      <c r="G10" s="5">
        <v>0.895524533694484</v>
      </c>
      <c r="H10" s="6">
        <v>0.877249359124821</v>
      </c>
      <c r="I10" s="6">
        <v>0.834876246878077</v>
      </c>
      <c r="J10" s="6">
        <v>0.904335760974732</v>
      </c>
      <c r="K10" s="7">
        <v>0.9242</v>
      </c>
    </row>
    <row r="11" ht="17.6" spans="1:11">
      <c r="A11" s="4" t="s">
        <v>20</v>
      </c>
      <c r="B11" s="5">
        <v>0.580967510106739</v>
      </c>
      <c r="C11" s="5">
        <v>0.488957077162016</v>
      </c>
      <c r="D11" s="5">
        <v>0.486796514491976</v>
      </c>
      <c r="E11" s="5">
        <v>0.453104706785391</v>
      </c>
      <c r="F11" s="5">
        <v>0.487306501547987</v>
      </c>
      <c r="G11" s="5">
        <v>0.478603027154302</v>
      </c>
      <c r="H11" s="6">
        <v>0.567565981319303</v>
      </c>
      <c r="I11" s="6">
        <v>0.503831869962687</v>
      </c>
      <c r="J11" s="6">
        <v>0.547859467098639</v>
      </c>
      <c r="K11" s="7">
        <v>0.5818</v>
      </c>
    </row>
    <row r="12" ht="17.6" spans="1:11">
      <c r="A12" s="4" t="s">
        <v>21</v>
      </c>
      <c r="B12" s="5">
        <v>0.81885013476078</v>
      </c>
      <c r="C12" s="5">
        <v>0.889326886840967</v>
      </c>
      <c r="D12" s="5">
        <v>0.867983406428908</v>
      </c>
      <c r="E12" s="5">
        <v>0.409991450914013</v>
      </c>
      <c r="F12" s="5">
        <v>0.856082543873074</v>
      </c>
      <c r="G12" s="5">
        <v>0.864146138827166</v>
      </c>
      <c r="H12" s="6">
        <v>0.911430193607551</v>
      </c>
      <c r="I12" s="6">
        <v>0.843872811909272</v>
      </c>
      <c r="J12" s="6">
        <v>0.869009559149049</v>
      </c>
      <c r="K12" s="7">
        <v>0.9193</v>
      </c>
    </row>
    <row r="13" spans="1:11">
      <c r="A13" s="8" t="s">
        <v>22</v>
      </c>
      <c r="B13" s="6">
        <f>SUM(B17:B26)/10</f>
        <v>5.2</v>
      </c>
      <c r="C13" s="6">
        <f t="shared" ref="C13:K13" si="0">SUM(C17:C26)/10</f>
        <v>6</v>
      </c>
      <c r="D13" s="6">
        <f t="shared" si="0"/>
        <v>5.6</v>
      </c>
      <c r="E13" s="6">
        <f t="shared" si="0"/>
        <v>8.9</v>
      </c>
      <c r="F13" s="6">
        <f t="shared" si="0"/>
        <v>7.6</v>
      </c>
      <c r="G13" s="6">
        <f t="shared" si="0"/>
        <v>6.1</v>
      </c>
      <c r="H13" s="6">
        <f t="shared" si="0"/>
        <v>4.2</v>
      </c>
      <c r="I13" s="6">
        <f t="shared" si="0"/>
        <v>6</v>
      </c>
      <c r="J13" s="6">
        <f t="shared" si="0"/>
        <v>4.1</v>
      </c>
      <c r="K13" s="6">
        <f t="shared" si="0"/>
        <v>1.6</v>
      </c>
    </row>
    <row r="14" spans="1:11">
      <c r="A14" s="8"/>
      <c r="B14" s="6"/>
      <c r="C14" s="6"/>
      <c r="D14" s="6"/>
    </row>
    <row r="16" spans="1:11">
      <c r="A16" t="s">
        <v>23</v>
      </c>
    </row>
    <row r="17" ht="17.6" spans="1:11">
      <c r="A17" s="4" t="s">
        <v>12</v>
      </c>
      <c r="B17">
        <f>_xlfn.IFNA(RANK(B3,$B3:$K3),10)</f>
        <v>5</v>
      </c>
      <c r="C17">
        <f t="shared" ref="C17:K17" si="1">_xlfn.IFNA(RANK(C3,$B3:$K3),10)</f>
        <v>10</v>
      </c>
      <c r="D17">
        <f t="shared" si="1"/>
        <v>1</v>
      </c>
      <c r="E17">
        <f t="shared" si="1"/>
        <v>8</v>
      </c>
      <c r="F17">
        <f t="shared" si="1"/>
        <v>3</v>
      </c>
      <c r="G17">
        <f t="shared" si="1"/>
        <v>2</v>
      </c>
      <c r="H17">
        <f t="shared" si="1"/>
        <v>6</v>
      </c>
      <c r="I17">
        <f t="shared" si="1"/>
        <v>9</v>
      </c>
      <c r="J17">
        <f t="shared" si="1"/>
        <v>7</v>
      </c>
      <c r="K17">
        <f t="shared" si="1"/>
        <v>4</v>
      </c>
    </row>
    <row r="18" ht="17.6" spans="1:11">
      <c r="A18" s="4" t="s">
        <v>13</v>
      </c>
      <c r="B18">
        <f t="shared" ref="B18:B26" si="2">_xlfn.IFNA(RANK(B4,$B4:$K4),10)</f>
        <v>7</v>
      </c>
      <c r="C18">
        <f t="shared" ref="C18:C26" si="3">_xlfn.IFNA(RANK(C4,$B4:$K4),10)</f>
        <v>4</v>
      </c>
      <c r="D18">
        <f t="shared" ref="D18:D26" si="4">_xlfn.IFNA(RANK(D4,$B4:$K4),10)</f>
        <v>6</v>
      </c>
      <c r="E18">
        <f t="shared" ref="E18:E26" si="5">_xlfn.IFNA(RANK(E4,$B4:$K4),10)</f>
        <v>9</v>
      </c>
      <c r="F18">
        <f t="shared" ref="F18:F26" si="6">_xlfn.IFNA(RANK(F4,$B4:$K4),10)</f>
        <v>10</v>
      </c>
      <c r="G18">
        <f t="shared" ref="G18:G26" si="7">_xlfn.IFNA(RANK(G4,$B4:$K4),10)</f>
        <v>8</v>
      </c>
      <c r="H18">
        <f t="shared" ref="H18:H26" si="8">_xlfn.IFNA(RANK(H4,$B4:$K4),10)</f>
        <v>5</v>
      </c>
      <c r="I18">
        <f t="shared" ref="I18:I26" si="9">_xlfn.IFNA(RANK(I4,$B4:$K4),10)</f>
        <v>2</v>
      </c>
      <c r="J18">
        <f t="shared" ref="J18:J26" si="10">_xlfn.IFNA(RANK(J4,$B4:$K4),10)</f>
        <v>3</v>
      </c>
      <c r="K18">
        <f t="shared" ref="K18:K26" si="11">_xlfn.IFNA(RANK(K4,$B4:$K4),10)</f>
        <v>1</v>
      </c>
    </row>
    <row r="19" ht="17.6" spans="1:11">
      <c r="A19" s="4" t="s">
        <v>14</v>
      </c>
      <c r="B19">
        <f t="shared" si="2"/>
        <v>4</v>
      </c>
      <c r="C19">
        <f t="shared" si="3"/>
        <v>5</v>
      </c>
      <c r="D19">
        <f t="shared" si="4"/>
        <v>7</v>
      </c>
      <c r="E19">
        <f t="shared" si="5"/>
        <v>6</v>
      </c>
      <c r="F19">
        <f t="shared" si="6"/>
        <v>10</v>
      </c>
      <c r="G19">
        <f t="shared" si="7"/>
        <v>9</v>
      </c>
      <c r="H19">
        <f t="shared" si="8"/>
        <v>2</v>
      </c>
      <c r="I19">
        <f t="shared" si="9"/>
        <v>8</v>
      </c>
      <c r="J19">
        <f t="shared" si="10"/>
        <v>3</v>
      </c>
      <c r="K19">
        <f t="shared" si="11"/>
        <v>1</v>
      </c>
    </row>
    <row r="20" ht="17.6" spans="1:11">
      <c r="A20" s="4" t="s">
        <v>15</v>
      </c>
      <c r="B20">
        <f t="shared" si="2"/>
        <v>8</v>
      </c>
      <c r="C20">
        <f t="shared" si="3"/>
        <v>9</v>
      </c>
      <c r="D20">
        <f t="shared" si="4"/>
        <v>7</v>
      </c>
      <c r="E20">
        <f t="shared" si="5"/>
        <v>10</v>
      </c>
      <c r="F20">
        <f t="shared" si="6"/>
        <v>3</v>
      </c>
      <c r="G20">
        <f t="shared" si="7"/>
        <v>6</v>
      </c>
      <c r="H20">
        <f t="shared" si="8"/>
        <v>2</v>
      </c>
      <c r="I20">
        <f t="shared" si="9"/>
        <v>5</v>
      </c>
      <c r="J20">
        <f t="shared" si="10"/>
        <v>4</v>
      </c>
      <c r="K20">
        <f t="shared" si="11"/>
        <v>1</v>
      </c>
    </row>
    <row r="21" ht="17.6" spans="1:11">
      <c r="A21" s="4" t="s">
        <v>16</v>
      </c>
      <c r="B21">
        <f t="shared" si="2"/>
        <v>3</v>
      </c>
      <c r="C21">
        <f t="shared" si="3"/>
        <v>5</v>
      </c>
      <c r="D21">
        <f t="shared" si="4"/>
        <v>4</v>
      </c>
      <c r="E21">
        <f t="shared" si="5"/>
        <v>10</v>
      </c>
      <c r="F21">
        <f t="shared" si="6"/>
        <v>9</v>
      </c>
      <c r="G21">
        <f t="shared" si="7"/>
        <v>2</v>
      </c>
      <c r="H21">
        <f t="shared" si="8"/>
        <v>7</v>
      </c>
      <c r="I21">
        <f t="shared" si="9"/>
        <v>8</v>
      </c>
      <c r="J21">
        <f t="shared" si="10"/>
        <v>6</v>
      </c>
      <c r="K21">
        <f t="shared" si="11"/>
        <v>1</v>
      </c>
    </row>
    <row r="22" ht="17.6" spans="1:11">
      <c r="A22" s="4" t="s">
        <v>17</v>
      </c>
      <c r="B22">
        <f t="shared" si="2"/>
        <v>5</v>
      </c>
      <c r="C22">
        <f t="shared" si="3"/>
        <v>2</v>
      </c>
      <c r="D22">
        <f t="shared" si="4"/>
        <v>10</v>
      </c>
      <c r="E22">
        <f t="shared" si="5"/>
        <v>6</v>
      </c>
      <c r="F22">
        <f t="shared" si="6"/>
        <v>10</v>
      </c>
      <c r="G22">
        <f t="shared" si="7"/>
        <v>10</v>
      </c>
      <c r="H22">
        <f t="shared" si="8"/>
        <v>7</v>
      </c>
      <c r="I22">
        <f t="shared" si="9"/>
        <v>1</v>
      </c>
      <c r="J22">
        <f t="shared" si="10"/>
        <v>3</v>
      </c>
      <c r="K22">
        <f t="shared" si="11"/>
        <v>4</v>
      </c>
    </row>
    <row r="23" ht="17.6" spans="1:11">
      <c r="A23" s="4" t="s">
        <v>18</v>
      </c>
      <c r="B23">
        <f t="shared" si="2"/>
        <v>2</v>
      </c>
      <c r="C23">
        <f t="shared" si="3"/>
        <v>7</v>
      </c>
      <c r="D23">
        <f t="shared" si="4"/>
        <v>4</v>
      </c>
      <c r="E23">
        <f t="shared" si="5"/>
        <v>10</v>
      </c>
      <c r="F23">
        <f t="shared" si="6"/>
        <v>9</v>
      </c>
      <c r="G23">
        <f t="shared" si="7"/>
        <v>6</v>
      </c>
      <c r="H23">
        <f t="shared" si="8"/>
        <v>3</v>
      </c>
      <c r="I23">
        <f t="shared" si="9"/>
        <v>8</v>
      </c>
      <c r="J23">
        <f t="shared" si="10"/>
        <v>5</v>
      </c>
      <c r="K23">
        <f t="shared" si="11"/>
        <v>1</v>
      </c>
    </row>
    <row r="24" ht="17.6" spans="1:11">
      <c r="A24" s="4" t="s">
        <v>19</v>
      </c>
      <c r="B24">
        <f t="shared" si="2"/>
        <v>7</v>
      </c>
      <c r="C24">
        <f t="shared" si="3"/>
        <v>9</v>
      </c>
      <c r="D24">
        <f t="shared" si="4"/>
        <v>4</v>
      </c>
      <c r="E24">
        <f t="shared" si="5"/>
        <v>10</v>
      </c>
      <c r="F24">
        <f t="shared" si="6"/>
        <v>8</v>
      </c>
      <c r="G24">
        <f t="shared" si="7"/>
        <v>3</v>
      </c>
      <c r="H24">
        <f t="shared" si="8"/>
        <v>5</v>
      </c>
      <c r="I24">
        <f t="shared" si="9"/>
        <v>6</v>
      </c>
      <c r="J24">
        <f t="shared" si="10"/>
        <v>2</v>
      </c>
      <c r="K24">
        <f t="shared" si="11"/>
        <v>1</v>
      </c>
    </row>
    <row r="25" ht="17.6" spans="1:11">
      <c r="A25" s="4" t="s">
        <v>20</v>
      </c>
      <c r="B25">
        <f t="shared" si="2"/>
        <v>2</v>
      </c>
      <c r="C25">
        <f t="shared" si="3"/>
        <v>6</v>
      </c>
      <c r="D25">
        <f t="shared" si="4"/>
        <v>8</v>
      </c>
      <c r="E25">
        <f t="shared" si="5"/>
        <v>10</v>
      </c>
      <c r="F25">
        <f t="shared" si="6"/>
        <v>7</v>
      </c>
      <c r="G25">
        <f t="shared" si="7"/>
        <v>9</v>
      </c>
      <c r="H25">
        <f t="shared" si="8"/>
        <v>3</v>
      </c>
      <c r="I25">
        <f t="shared" si="9"/>
        <v>5</v>
      </c>
      <c r="J25">
        <f t="shared" si="10"/>
        <v>4</v>
      </c>
      <c r="K25">
        <f t="shared" si="11"/>
        <v>1</v>
      </c>
    </row>
    <row r="26" ht="17.6" spans="1:11">
      <c r="A26" s="4" t="s">
        <v>21</v>
      </c>
      <c r="B26">
        <f t="shared" si="2"/>
        <v>9</v>
      </c>
      <c r="C26">
        <f t="shared" si="3"/>
        <v>3</v>
      </c>
      <c r="D26">
        <f t="shared" si="4"/>
        <v>5</v>
      </c>
      <c r="E26">
        <f t="shared" si="5"/>
        <v>10</v>
      </c>
      <c r="F26">
        <f t="shared" si="6"/>
        <v>7</v>
      </c>
      <c r="G26">
        <f t="shared" si="7"/>
        <v>6</v>
      </c>
      <c r="H26">
        <f t="shared" si="8"/>
        <v>2</v>
      </c>
      <c r="I26">
        <f t="shared" si="9"/>
        <v>8</v>
      </c>
      <c r="J26">
        <f t="shared" si="10"/>
        <v>4</v>
      </c>
      <c r="K26">
        <f t="shared" si="11"/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zoomScale="115" zoomScaleNormal="115" workbookViewId="0">
      <selection activeCell="K13" sqref="A2:K13"/>
    </sheetView>
  </sheetViews>
  <sheetFormatPr defaultColWidth="9.23076923076923" defaultRowHeight="16.8"/>
  <cols>
    <col min="1" max="1" width="10.6923076923077" customWidth="1"/>
    <col min="2" max="2" width="14.3076923076923" customWidth="1"/>
    <col min="3" max="3" width="12.6153846153846" customWidth="1"/>
    <col min="4" max="4" width="15.0769230769231" customWidth="1"/>
    <col min="5" max="5" width="14.6923076923077" customWidth="1"/>
    <col min="6" max="6" width="23.1538461538462" customWidth="1"/>
    <col min="7" max="7" width="8.69230769230769" customWidth="1"/>
    <col min="8" max="8" width="10.9230769230769" customWidth="1"/>
    <col min="9" max="9" width="10.4615384615385" customWidth="1"/>
    <col min="10" max="10" width="10.3846153846154" customWidth="1"/>
  </cols>
  <sheetData>
    <row r="1" ht="17.6" spans="1:11">
      <c r="A1" s="1" t="s">
        <v>24</v>
      </c>
      <c r="B1" s="1"/>
      <c r="C1" s="1"/>
      <c r="D1" s="1"/>
      <c r="E1" s="1"/>
      <c r="F1" s="1"/>
      <c r="G1" s="1"/>
    </row>
    <row r="2" ht="17.6" spans="1:1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 t="s">
        <v>9</v>
      </c>
      <c r="J2" s="3" t="s">
        <v>10</v>
      </c>
      <c r="K2" t="s">
        <v>11</v>
      </c>
    </row>
    <row r="3" ht="17.6" spans="1:11">
      <c r="A3" s="4" t="s">
        <v>12</v>
      </c>
      <c r="B3" s="5">
        <v>0.37421148005173</v>
      </c>
      <c r="C3" s="5">
        <v>0.154514746375462</v>
      </c>
      <c r="D3" s="5">
        <v>0.374667715008251</v>
      </c>
      <c r="E3" s="5">
        <v>0.239341620108538</v>
      </c>
      <c r="F3" s="5">
        <v>0.30996835863756</v>
      </c>
      <c r="G3" s="5">
        <v>0.390426488342306</v>
      </c>
      <c r="H3" s="6">
        <v>0.299328328946666</v>
      </c>
      <c r="I3" s="6">
        <v>0.264412974124597</v>
      </c>
      <c r="J3" s="6">
        <v>0.287026373112857</v>
      </c>
      <c r="K3" s="7">
        <v>0.349</v>
      </c>
    </row>
    <row r="4" ht="17.6" spans="1:11">
      <c r="A4" s="4" t="s">
        <v>13</v>
      </c>
      <c r="B4" s="5">
        <v>0.571401199601295</v>
      </c>
      <c r="C4" s="5">
        <v>0.653348949359909</v>
      </c>
      <c r="D4" s="5">
        <v>0.600073722950855</v>
      </c>
      <c r="E4" s="5">
        <v>0.499432106237985</v>
      </c>
      <c r="F4" s="5"/>
      <c r="G4" s="5">
        <v>0.547609211346485</v>
      </c>
      <c r="H4" s="6">
        <v>0.653472834910189</v>
      </c>
      <c r="I4" s="6">
        <v>0.666342340270598</v>
      </c>
      <c r="J4" s="6">
        <v>0.662333937215112</v>
      </c>
      <c r="K4" s="7">
        <v>0.6847</v>
      </c>
    </row>
    <row r="5" ht="17.6" spans="1:11">
      <c r="A5" s="4" t="s">
        <v>14</v>
      </c>
      <c r="B5" s="5">
        <v>0.723511367060775</v>
      </c>
      <c r="C5" s="5">
        <v>0.71628953632611</v>
      </c>
      <c r="D5" s="5">
        <v>0.664687403173971</v>
      </c>
      <c r="E5" s="5">
        <v>0.680729676685008</v>
      </c>
      <c r="F5" s="5">
        <v>0.613166854470333</v>
      </c>
      <c r="G5" s="5">
        <v>0.638061492756417</v>
      </c>
      <c r="H5" s="6">
        <v>0.768777972568736</v>
      </c>
      <c r="I5" s="6">
        <v>0.649063829123701</v>
      </c>
      <c r="J5" s="6">
        <v>0.753416739477143</v>
      </c>
      <c r="K5" s="7">
        <v>0.784</v>
      </c>
    </row>
    <row r="6" ht="17.6" spans="1:11">
      <c r="A6" s="4" t="s">
        <v>15</v>
      </c>
      <c r="B6" s="5">
        <v>0.241739958930678</v>
      </c>
      <c r="C6" s="5">
        <v>0.200648373297936</v>
      </c>
      <c r="D6" s="5">
        <v>0.316103798529954</v>
      </c>
      <c r="E6" s="5">
        <v>0.106804708817083</v>
      </c>
      <c r="F6" s="5">
        <v>0.345403459049468</v>
      </c>
      <c r="G6" s="5">
        <v>0.281887510133942</v>
      </c>
      <c r="H6" s="6">
        <v>0.402676102107426</v>
      </c>
      <c r="I6" s="6">
        <v>0.297937442527846</v>
      </c>
      <c r="J6" s="6">
        <v>0.361894673452894</v>
      </c>
      <c r="K6" s="7">
        <v>0.4142</v>
      </c>
    </row>
    <row r="7" ht="17.6" spans="1:11">
      <c r="A7" s="4" t="s">
        <v>16</v>
      </c>
      <c r="B7" s="5">
        <v>0.981651680444522</v>
      </c>
      <c r="C7" s="5">
        <v>0.97947956197607</v>
      </c>
      <c r="D7" s="5">
        <v>0.980639340632666</v>
      </c>
      <c r="E7" s="5">
        <v>0.735800150945238</v>
      </c>
      <c r="F7" s="5">
        <v>0.91383000405581</v>
      </c>
      <c r="G7" s="5">
        <v>0.982004572451575</v>
      </c>
      <c r="H7" s="6">
        <v>0.975494143583975</v>
      </c>
      <c r="I7" s="6">
        <v>0.953728949207617</v>
      </c>
      <c r="J7" s="6">
        <v>0.977358519065819</v>
      </c>
      <c r="K7" s="7">
        <v>0.9832</v>
      </c>
    </row>
    <row r="8" ht="17.6" spans="1:11">
      <c r="A8" s="4" t="s">
        <v>17</v>
      </c>
      <c r="B8" s="5">
        <v>0.843162832385322</v>
      </c>
      <c r="C8" s="5">
        <v>0.863510006880168</v>
      </c>
      <c r="D8" s="5"/>
      <c r="E8" s="5">
        <v>0.780008499405037</v>
      </c>
      <c r="F8" s="5"/>
      <c r="G8" s="5"/>
      <c r="H8" s="6">
        <v>0.806617548629602</v>
      </c>
      <c r="I8" s="6">
        <v>0.878407946100542</v>
      </c>
      <c r="J8" s="6">
        <v>0.859497282534824</v>
      </c>
      <c r="K8" s="7">
        <v>0.8484</v>
      </c>
    </row>
    <row r="9" ht="17.6" spans="1:11">
      <c r="A9" s="4" t="s">
        <v>18</v>
      </c>
      <c r="B9" s="5">
        <v>0.99186880666392</v>
      </c>
      <c r="C9" s="5">
        <v>0.983207374421145</v>
      </c>
      <c r="D9" s="5">
        <v>0.990808440823912</v>
      </c>
      <c r="E9" s="5">
        <v>0.552054940754641</v>
      </c>
      <c r="F9" s="5">
        <v>0.97372082614304</v>
      </c>
      <c r="G9" s="5">
        <v>0.987367312715221</v>
      </c>
      <c r="H9" s="6">
        <v>0.991416059287471</v>
      </c>
      <c r="I9" s="6">
        <v>0.975577287136717</v>
      </c>
      <c r="J9" s="6">
        <v>0.988974541005439</v>
      </c>
      <c r="K9" s="7">
        <v>0.9965</v>
      </c>
    </row>
    <row r="10" ht="17.6" spans="1:11">
      <c r="A10" s="4" t="s">
        <v>19</v>
      </c>
      <c r="B10" s="5">
        <v>0.826275578023312</v>
      </c>
      <c r="C10" s="5">
        <v>0.808787478076461</v>
      </c>
      <c r="D10" s="5">
        <v>0.883173440119757</v>
      </c>
      <c r="E10" s="5">
        <v>0.702604136094752</v>
      </c>
      <c r="F10" s="5">
        <v>0.813389341034392</v>
      </c>
      <c r="G10" s="5">
        <v>0.896085024324364</v>
      </c>
      <c r="H10" s="6">
        <v>0.88420107414987</v>
      </c>
      <c r="I10" s="6">
        <v>0.845764146577413</v>
      </c>
      <c r="J10" s="6">
        <v>0.906084999024742</v>
      </c>
      <c r="K10" s="7">
        <v>0.9256</v>
      </c>
    </row>
    <row r="11" ht="17.6" spans="1:11">
      <c r="A11" s="4" t="s">
        <v>20</v>
      </c>
      <c r="B11" s="5">
        <v>0.591164152144743</v>
      </c>
      <c r="C11" s="5">
        <v>0.491121905663598</v>
      </c>
      <c r="D11" s="5">
        <v>0.487607610320658</v>
      </c>
      <c r="E11" s="5">
        <v>0.47504771304698</v>
      </c>
      <c r="F11" s="5">
        <v>0.488749999999999</v>
      </c>
      <c r="G11" s="5">
        <v>0.478845663761775</v>
      </c>
      <c r="H11" s="6">
        <v>0.571743413303658</v>
      </c>
      <c r="I11" s="6">
        <v>0.505411940141269</v>
      </c>
      <c r="J11" s="6">
        <v>0.560600511046316</v>
      </c>
      <c r="K11" s="7">
        <v>0.5846</v>
      </c>
    </row>
    <row r="12" ht="17.6" spans="1:11">
      <c r="A12" s="4" t="s">
        <v>21</v>
      </c>
      <c r="B12" s="5">
        <v>0.8219033377676</v>
      </c>
      <c r="C12" s="5">
        <v>0.896756926284681</v>
      </c>
      <c r="D12" s="5">
        <v>0.878519020639314</v>
      </c>
      <c r="E12" s="5">
        <v>0.425814987034062</v>
      </c>
      <c r="F12" s="5">
        <v>0.868016035058911</v>
      </c>
      <c r="G12" s="5">
        <v>0.875718675212127</v>
      </c>
      <c r="H12" s="6">
        <v>0.915777054396114</v>
      </c>
      <c r="I12" s="6">
        <v>0.850592667950679</v>
      </c>
      <c r="J12" s="6">
        <v>0.875709580778744</v>
      </c>
      <c r="K12" s="7">
        <v>0.9283</v>
      </c>
    </row>
    <row r="13" spans="1:11">
      <c r="A13" s="8" t="s">
        <v>22</v>
      </c>
      <c r="B13" s="6">
        <f t="shared" ref="B13:K13" si="0">SUM(B17:B26)/10</f>
        <v>4.9</v>
      </c>
      <c r="C13" s="6">
        <f t="shared" si="0"/>
        <v>6.1</v>
      </c>
      <c r="D13" s="6">
        <f t="shared" si="0"/>
        <v>5.5</v>
      </c>
      <c r="E13" s="6">
        <f t="shared" si="0"/>
        <v>9.1</v>
      </c>
      <c r="F13" s="6">
        <f t="shared" si="0"/>
        <v>7.9</v>
      </c>
      <c r="G13" s="6">
        <f t="shared" si="0"/>
        <v>6</v>
      </c>
      <c r="H13" s="6">
        <f t="shared" si="0"/>
        <v>3.9</v>
      </c>
      <c r="I13" s="6">
        <f t="shared" si="0"/>
        <v>6</v>
      </c>
      <c r="J13" s="6">
        <f t="shared" si="0"/>
        <v>4.2</v>
      </c>
      <c r="K13" s="6">
        <f t="shared" si="0"/>
        <v>1.7</v>
      </c>
    </row>
    <row r="14" spans="1:11">
      <c r="A14" s="8"/>
      <c r="B14" s="6"/>
      <c r="C14" s="6"/>
      <c r="D14" s="6"/>
    </row>
    <row r="16" spans="1:11">
      <c r="A16" t="s">
        <v>23</v>
      </c>
    </row>
    <row r="17" ht="17.6" spans="1:11">
      <c r="A17" s="4" t="s">
        <v>12</v>
      </c>
      <c r="B17">
        <f t="shared" ref="B17:K17" si="1">_xlfn.IFNA(RANK(B3,$B3:$K3),10)</f>
        <v>3</v>
      </c>
      <c r="C17">
        <f t="shared" si="1"/>
        <v>10</v>
      </c>
      <c r="D17">
        <f t="shared" si="1"/>
        <v>2</v>
      </c>
      <c r="E17">
        <f t="shared" si="1"/>
        <v>9</v>
      </c>
      <c r="F17">
        <f t="shared" si="1"/>
        <v>5</v>
      </c>
      <c r="G17">
        <f t="shared" si="1"/>
        <v>1</v>
      </c>
      <c r="H17">
        <f t="shared" si="1"/>
        <v>6</v>
      </c>
      <c r="I17">
        <f t="shared" si="1"/>
        <v>8</v>
      </c>
      <c r="J17">
        <f t="shared" si="1"/>
        <v>7</v>
      </c>
      <c r="K17">
        <f t="shared" si="1"/>
        <v>4</v>
      </c>
    </row>
    <row r="18" ht="17.6" spans="1:11">
      <c r="A18" s="4" t="s">
        <v>13</v>
      </c>
      <c r="B18">
        <f t="shared" ref="B18:K18" si="2">_xlfn.IFNA(RANK(B4,$B4:$K4),10)</f>
        <v>7</v>
      </c>
      <c r="C18">
        <f t="shared" si="2"/>
        <v>5</v>
      </c>
      <c r="D18">
        <f t="shared" si="2"/>
        <v>6</v>
      </c>
      <c r="E18">
        <f t="shared" si="2"/>
        <v>9</v>
      </c>
      <c r="F18">
        <f t="shared" si="2"/>
        <v>10</v>
      </c>
      <c r="G18">
        <f t="shared" si="2"/>
        <v>8</v>
      </c>
      <c r="H18">
        <f t="shared" si="2"/>
        <v>4</v>
      </c>
      <c r="I18">
        <f t="shared" si="2"/>
        <v>2</v>
      </c>
      <c r="J18">
        <f t="shared" si="2"/>
        <v>3</v>
      </c>
      <c r="K18">
        <f t="shared" si="2"/>
        <v>1</v>
      </c>
    </row>
    <row r="19" ht="17.6" spans="1:11">
      <c r="A19" s="4" t="s">
        <v>14</v>
      </c>
      <c r="B19">
        <f t="shared" ref="B19:K19" si="3">_xlfn.IFNA(RANK(B5,$B5:$K5),10)</f>
        <v>4</v>
      </c>
      <c r="C19">
        <f t="shared" si="3"/>
        <v>5</v>
      </c>
      <c r="D19">
        <f t="shared" si="3"/>
        <v>7</v>
      </c>
      <c r="E19">
        <f t="shared" si="3"/>
        <v>6</v>
      </c>
      <c r="F19">
        <f t="shared" si="3"/>
        <v>10</v>
      </c>
      <c r="G19">
        <f t="shared" si="3"/>
        <v>9</v>
      </c>
      <c r="H19">
        <f t="shared" si="3"/>
        <v>2</v>
      </c>
      <c r="I19">
        <f t="shared" si="3"/>
        <v>8</v>
      </c>
      <c r="J19">
        <f t="shared" si="3"/>
        <v>3</v>
      </c>
      <c r="K19">
        <f t="shared" si="3"/>
        <v>1</v>
      </c>
    </row>
    <row r="20" ht="17.6" spans="1:11">
      <c r="A20" s="4" t="s">
        <v>15</v>
      </c>
      <c r="B20">
        <f t="shared" ref="B20:K20" si="4">_xlfn.IFNA(RANK(B6,$B6:$K6),10)</f>
        <v>8</v>
      </c>
      <c r="C20">
        <f t="shared" si="4"/>
        <v>9</v>
      </c>
      <c r="D20">
        <f t="shared" si="4"/>
        <v>5</v>
      </c>
      <c r="E20">
        <f t="shared" si="4"/>
        <v>10</v>
      </c>
      <c r="F20">
        <f t="shared" si="4"/>
        <v>4</v>
      </c>
      <c r="G20">
        <f t="shared" si="4"/>
        <v>7</v>
      </c>
      <c r="H20">
        <f t="shared" si="4"/>
        <v>2</v>
      </c>
      <c r="I20">
        <f t="shared" si="4"/>
        <v>6</v>
      </c>
      <c r="J20">
        <f t="shared" si="4"/>
        <v>3</v>
      </c>
      <c r="K20">
        <f t="shared" si="4"/>
        <v>1</v>
      </c>
    </row>
    <row r="21" ht="17.6" spans="1:11">
      <c r="A21" s="4" t="s">
        <v>16</v>
      </c>
      <c r="B21">
        <f t="shared" ref="B21:K21" si="5">_xlfn.IFNA(RANK(B7,$B7:$K7),10)</f>
        <v>3</v>
      </c>
      <c r="C21">
        <f t="shared" si="5"/>
        <v>5</v>
      </c>
      <c r="D21">
        <f t="shared" si="5"/>
        <v>4</v>
      </c>
      <c r="E21">
        <f t="shared" si="5"/>
        <v>10</v>
      </c>
      <c r="F21">
        <f t="shared" si="5"/>
        <v>9</v>
      </c>
      <c r="G21">
        <f t="shared" si="5"/>
        <v>2</v>
      </c>
      <c r="H21">
        <f t="shared" si="5"/>
        <v>7</v>
      </c>
      <c r="I21">
        <f t="shared" si="5"/>
        <v>8</v>
      </c>
      <c r="J21">
        <f t="shared" si="5"/>
        <v>6</v>
      </c>
      <c r="K21">
        <f t="shared" si="5"/>
        <v>1</v>
      </c>
    </row>
    <row r="22" ht="17.6" spans="1:11">
      <c r="A22" s="4" t="s">
        <v>17</v>
      </c>
      <c r="B22">
        <f t="shared" ref="B22:K22" si="6">_xlfn.IFNA(RANK(B8,$B8:$K8),10)</f>
        <v>5</v>
      </c>
      <c r="C22">
        <f t="shared" si="6"/>
        <v>2</v>
      </c>
      <c r="D22">
        <f t="shared" si="6"/>
        <v>10</v>
      </c>
      <c r="E22">
        <f t="shared" si="6"/>
        <v>7</v>
      </c>
      <c r="F22">
        <f t="shared" si="6"/>
        <v>10</v>
      </c>
      <c r="G22">
        <f t="shared" si="6"/>
        <v>10</v>
      </c>
      <c r="H22">
        <f t="shared" si="6"/>
        <v>6</v>
      </c>
      <c r="I22">
        <f t="shared" si="6"/>
        <v>1</v>
      </c>
      <c r="J22">
        <f t="shared" si="6"/>
        <v>3</v>
      </c>
      <c r="K22">
        <f t="shared" si="6"/>
        <v>4</v>
      </c>
    </row>
    <row r="23" ht="17.6" spans="1:11">
      <c r="A23" s="4" t="s">
        <v>18</v>
      </c>
      <c r="B23">
        <f t="shared" ref="B23:K23" si="7">_xlfn.IFNA(RANK(B9,$B9:$K9),10)</f>
        <v>2</v>
      </c>
      <c r="C23">
        <f t="shared" si="7"/>
        <v>7</v>
      </c>
      <c r="D23">
        <f t="shared" si="7"/>
        <v>4</v>
      </c>
      <c r="E23">
        <f t="shared" si="7"/>
        <v>10</v>
      </c>
      <c r="F23">
        <f t="shared" si="7"/>
        <v>9</v>
      </c>
      <c r="G23">
        <f t="shared" si="7"/>
        <v>6</v>
      </c>
      <c r="H23">
        <f t="shared" si="7"/>
        <v>3</v>
      </c>
      <c r="I23">
        <f t="shared" si="7"/>
        <v>8</v>
      </c>
      <c r="J23">
        <f t="shared" si="7"/>
        <v>5</v>
      </c>
      <c r="K23">
        <f t="shared" si="7"/>
        <v>1</v>
      </c>
    </row>
    <row r="24" ht="17.6" spans="1:11">
      <c r="A24" s="4" t="s">
        <v>19</v>
      </c>
      <c r="B24">
        <f t="shared" ref="B24:K24" si="8">_xlfn.IFNA(RANK(B10,$B10:$K10),10)</f>
        <v>7</v>
      </c>
      <c r="C24">
        <f t="shared" si="8"/>
        <v>9</v>
      </c>
      <c r="D24">
        <f t="shared" si="8"/>
        <v>5</v>
      </c>
      <c r="E24">
        <f t="shared" si="8"/>
        <v>10</v>
      </c>
      <c r="F24">
        <f t="shared" si="8"/>
        <v>8</v>
      </c>
      <c r="G24">
        <f t="shared" si="8"/>
        <v>3</v>
      </c>
      <c r="H24">
        <f t="shared" si="8"/>
        <v>4</v>
      </c>
      <c r="I24">
        <f t="shared" si="8"/>
        <v>6</v>
      </c>
      <c r="J24">
        <f t="shared" si="8"/>
        <v>2</v>
      </c>
      <c r="K24">
        <f t="shared" si="8"/>
        <v>1</v>
      </c>
    </row>
    <row r="25" ht="17.6" spans="1:11">
      <c r="A25" s="4" t="s">
        <v>20</v>
      </c>
      <c r="B25">
        <f t="shared" ref="B25:K25" si="9">_xlfn.IFNA(RANK(B11,$B11:$K11),10)</f>
        <v>1</v>
      </c>
      <c r="C25">
        <f t="shared" si="9"/>
        <v>6</v>
      </c>
      <c r="D25">
        <f t="shared" si="9"/>
        <v>8</v>
      </c>
      <c r="E25">
        <f t="shared" si="9"/>
        <v>10</v>
      </c>
      <c r="F25">
        <f t="shared" si="9"/>
        <v>7</v>
      </c>
      <c r="G25">
        <f t="shared" si="9"/>
        <v>9</v>
      </c>
      <c r="H25">
        <f t="shared" si="9"/>
        <v>3</v>
      </c>
      <c r="I25">
        <f t="shared" si="9"/>
        <v>5</v>
      </c>
      <c r="J25">
        <f t="shared" si="9"/>
        <v>4</v>
      </c>
      <c r="K25">
        <f t="shared" si="9"/>
        <v>2</v>
      </c>
    </row>
    <row r="26" ht="17.6" spans="1:11">
      <c r="A26" s="4" t="s">
        <v>21</v>
      </c>
      <c r="B26">
        <f t="shared" ref="B26:K26" si="10">_xlfn.IFNA(RANK(B12,$B12:$K12),10)</f>
        <v>9</v>
      </c>
      <c r="C26">
        <f t="shared" si="10"/>
        <v>3</v>
      </c>
      <c r="D26">
        <f t="shared" si="10"/>
        <v>4</v>
      </c>
      <c r="E26">
        <f t="shared" si="10"/>
        <v>10</v>
      </c>
      <c r="F26">
        <f t="shared" si="10"/>
        <v>7</v>
      </c>
      <c r="G26">
        <f t="shared" si="10"/>
        <v>5</v>
      </c>
      <c r="H26">
        <f t="shared" si="10"/>
        <v>2</v>
      </c>
      <c r="I26">
        <f t="shared" si="10"/>
        <v>8</v>
      </c>
      <c r="J26">
        <f t="shared" si="10"/>
        <v>6</v>
      </c>
      <c r="K26">
        <f t="shared" si="10"/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zoomScale="124" zoomScaleNormal="124" workbookViewId="0">
      <selection activeCell="K13" sqref="A2:K13"/>
    </sheetView>
  </sheetViews>
  <sheetFormatPr defaultColWidth="9.23076923076923" defaultRowHeight="16.8"/>
  <cols>
    <col min="1" max="1" width="10.6923076923077" customWidth="1"/>
    <col min="2" max="2" width="14.3076923076923" customWidth="1"/>
    <col min="3" max="3" width="12.6153846153846" customWidth="1"/>
    <col min="4" max="4" width="15.0769230769231" customWidth="1"/>
    <col min="5" max="5" width="14.6923076923077" customWidth="1"/>
    <col min="6" max="6" width="23.1538461538462" customWidth="1"/>
    <col min="7" max="7" width="8.69230769230769" customWidth="1"/>
    <col min="8" max="8" width="10.9230769230769" customWidth="1"/>
    <col min="9" max="9" width="10.4615384615385" customWidth="1"/>
    <col min="10" max="10" width="10.3846153846154" customWidth="1"/>
  </cols>
  <sheetData>
    <row r="1" ht="17.6" spans="1:11">
      <c r="A1" s="1" t="s">
        <v>25</v>
      </c>
      <c r="B1" s="1"/>
      <c r="C1" s="1"/>
      <c r="D1" s="1"/>
      <c r="E1" s="1"/>
      <c r="F1" s="1"/>
      <c r="G1" s="1"/>
    </row>
    <row r="2" ht="17.6" spans="1:1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 t="s">
        <v>9</v>
      </c>
      <c r="J2" s="3" t="s">
        <v>10</v>
      </c>
      <c r="K2" t="s">
        <v>11</v>
      </c>
    </row>
    <row r="3" ht="17.6" spans="1:11">
      <c r="A3" s="4" t="s">
        <v>12</v>
      </c>
      <c r="B3" s="5">
        <v>0.339163498098859</v>
      </c>
      <c r="C3" s="5">
        <v>0.262357414448669</v>
      </c>
      <c r="D3" s="5">
        <v>0.374904942965779</v>
      </c>
      <c r="E3" s="5">
        <v>0.237262357414448</v>
      </c>
      <c r="F3" s="5">
        <v>0.307984790874524</v>
      </c>
      <c r="G3" s="5">
        <v>0.371102661596958</v>
      </c>
      <c r="H3" s="6">
        <v>0.283650190114068</v>
      </c>
      <c r="I3" s="6">
        <v>0.263117870722433</v>
      </c>
      <c r="J3" s="6">
        <v>0.304942965779467</v>
      </c>
      <c r="K3" s="7">
        <v>0.3179</v>
      </c>
    </row>
    <row r="4" ht="17.6" spans="1:11">
      <c r="A4" s="4" t="s">
        <v>13</v>
      </c>
      <c r="B4" s="5">
        <v>0.571112372304199</v>
      </c>
      <c r="C4" s="5">
        <v>0.653178206583428</v>
      </c>
      <c r="D4" s="5">
        <v>0.59994324631101</v>
      </c>
      <c r="E4" s="5">
        <v>0.499432463110102</v>
      </c>
      <c r="F4" s="5"/>
      <c r="G4" s="5">
        <v>0.542111237230419</v>
      </c>
      <c r="H4" s="6">
        <v>0.651645856980703</v>
      </c>
      <c r="I4" s="6">
        <v>0.665209988649262</v>
      </c>
      <c r="J4" s="6">
        <v>0.660612939841089</v>
      </c>
      <c r="K4" s="7">
        <v>0.6827</v>
      </c>
    </row>
    <row r="5" ht="17.6" spans="1:11">
      <c r="A5" s="4" t="s">
        <v>14</v>
      </c>
      <c r="B5" s="5">
        <v>0.738536585365853</v>
      </c>
      <c r="C5" s="5">
        <v>0.73170731707317</v>
      </c>
      <c r="D5" s="5">
        <v>0.667317073170731</v>
      </c>
      <c r="E5" s="5">
        <v>0.704390243902438</v>
      </c>
      <c r="F5" s="5">
        <v>0.682926829268292</v>
      </c>
      <c r="G5" s="5">
        <v>0.644878048780487</v>
      </c>
      <c r="H5" s="6">
        <v>0.777560975609756</v>
      </c>
      <c r="I5" s="6">
        <v>0.660487804878048</v>
      </c>
      <c r="J5" s="6">
        <v>0.765853658536585</v>
      </c>
      <c r="K5" s="7">
        <v>0.7951</v>
      </c>
    </row>
    <row r="6" ht="17.6" spans="1:11">
      <c r="A6" s="4" t="s">
        <v>15</v>
      </c>
      <c r="B6" s="5">
        <v>0.244705882352941</v>
      </c>
      <c r="C6" s="5">
        <v>0.204941176470588</v>
      </c>
      <c r="D6" s="5">
        <v>0.273176470588235</v>
      </c>
      <c r="E6" s="5">
        <v>0.0969411764705882</v>
      </c>
      <c r="F6" s="5">
        <v>0.331764705882352</v>
      </c>
      <c r="G6" s="5">
        <v>0.26</v>
      </c>
      <c r="H6" s="6">
        <v>0.403058823529411</v>
      </c>
      <c r="I6" s="6">
        <v>0.269647058823529</v>
      </c>
      <c r="J6" s="6">
        <v>0.326588235294117</v>
      </c>
      <c r="K6" s="7">
        <v>0.4184</v>
      </c>
    </row>
    <row r="7" ht="17.6" spans="1:11">
      <c r="A7" s="4" t="s">
        <v>16</v>
      </c>
      <c r="B7" s="5">
        <v>0.981081081081081</v>
      </c>
      <c r="C7" s="5">
        <v>0.978918918918918</v>
      </c>
      <c r="D7" s="5">
        <v>0.98</v>
      </c>
      <c r="E7" s="5">
        <v>0.695675675675675</v>
      </c>
      <c r="F7" s="5">
        <v>0.91081081081081</v>
      </c>
      <c r="G7" s="5">
        <v>0.981081081081081</v>
      </c>
      <c r="H7" s="6">
        <v>0.974594594594594</v>
      </c>
      <c r="I7" s="6">
        <v>0.951891891891891</v>
      </c>
      <c r="J7" s="6">
        <v>0.976756756756756</v>
      </c>
      <c r="K7" s="7">
        <v>0.9827</v>
      </c>
    </row>
    <row r="8" ht="17.6" spans="1:11">
      <c r="A8" s="4" t="s">
        <v>17</v>
      </c>
      <c r="B8" s="5">
        <v>0.832369942196531</v>
      </c>
      <c r="C8" s="5">
        <v>0.855491329479768</v>
      </c>
      <c r="D8" s="5"/>
      <c r="E8" s="5">
        <v>0.767630057803468</v>
      </c>
      <c r="F8" s="5"/>
      <c r="G8" s="5"/>
      <c r="H8" s="6">
        <v>0.765317919075144</v>
      </c>
      <c r="I8" s="6">
        <v>0.854335260115607</v>
      </c>
      <c r="J8" s="6">
        <v>0.839306358381502</v>
      </c>
      <c r="K8" s="7">
        <v>0.8358</v>
      </c>
    </row>
    <row r="9" ht="17.6" spans="1:11">
      <c r="A9" s="4" t="s">
        <v>18</v>
      </c>
      <c r="B9" s="5">
        <v>0.991723510686675</v>
      </c>
      <c r="C9" s="5">
        <v>0.982901318781264</v>
      </c>
      <c r="D9" s="5">
        <v>0.990723055934515</v>
      </c>
      <c r="E9" s="5">
        <v>0.532060027285129</v>
      </c>
      <c r="F9" s="5">
        <v>0.973169622555707</v>
      </c>
      <c r="G9" s="5">
        <v>0.987175989085948</v>
      </c>
      <c r="H9" s="6">
        <v>0.991268758526603</v>
      </c>
      <c r="I9" s="6">
        <v>0.975170532060027</v>
      </c>
      <c r="J9" s="6">
        <v>0.98881309686221</v>
      </c>
      <c r="K9" s="7">
        <v>0.9965</v>
      </c>
    </row>
    <row r="10" ht="17.6" spans="1:11">
      <c r="A10" s="4" t="s">
        <v>19</v>
      </c>
      <c r="B10" s="5">
        <v>0.818430034129693</v>
      </c>
      <c r="C10" s="5">
        <v>0.755631399317406</v>
      </c>
      <c r="D10" s="5">
        <v>0.881911262798634</v>
      </c>
      <c r="E10" s="5">
        <v>0.599999999999999</v>
      </c>
      <c r="F10" s="5">
        <v>0.77815699658703</v>
      </c>
      <c r="G10" s="5">
        <v>0.89556313993174</v>
      </c>
      <c r="H10" s="6">
        <v>0.877815699658703</v>
      </c>
      <c r="I10" s="6">
        <v>0.83617747440273</v>
      </c>
      <c r="J10" s="6">
        <v>0.904436860068259</v>
      </c>
      <c r="K10" s="7">
        <v>0.9242</v>
      </c>
    </row>
    <row r="11" ht="17.6" spans="1:11">
      <c r="A11" s="4" t="s">
        <v>20</v>
      </c>
      <c r="B11" s="5">
        <v>0.586666666666666</v>
      </c>
      <c r="C11" s="5">
        <v>0.491111111111111</v>
      </c>
      <c r="D11" s="5">
        <v>0.487777777777777</v>
      </c>
      <c r="E11" s="5">
        <v>0.478888888888888</v>
      </c>
      <c r="F11" s="5">
        <v>0.488888888888888</v>
      </c>
      <c r="G11" s="5">
        <v>0.478888888888888</v>
      </c>
      <c r="H11" s="6">
        <v>0.569999999999999</v>
      </c>
      <c r="I11" s="6">
        <v>0.505555555555555</v>
      </c>
      <c r="J11" s="6">
        <v>0.555555555555555</v>
      </c>
      <c r="K11" s="7">
        <v>0.5833</v>
      </c>
    </row>
    <row r="12" ht="17.6" spans="1:11">
      <c r="A12" s="4" t="s">
        <v>21</v>
      </c>
      <c r="B12" s="5">
        <v>0.821875</v>
      </c>
      <c r="C12" s="5">
        <v>0.89</v>
      </c>
      <c r="D12" s="5">
        <v>0.86875</v>
      </c>
      <c r="E12" s="5">
        <v>0.415625</v>
      </c>
      <c r="F12" s="5">
        <v>0.85625</v>
      </c>
      <c r="G12" s="5">
        <v>0.864375</v>
      </c>
      <c r="H12" s="6">
        <v>0.911875</v>
      </c>
      <c r="I12" s="6">
        <v>0.845</v>
      </c>
      <c r="J12" s="6">
        <v>0.86875</v>
      </c>
      <c r="K12" s="7">
        <v>0.9194</v>
      </c>
    </row>
    <row r="13" spans="1:11">
      <c r="A13" s="8" t="s">
        <v>22</v>
      </c>
      <c r="B13" s="6">
        <f t="shared" ref="B13:K13" si="0">SUM(B17:B26)/10</f>
        <v>4.8</v>
      </c>
      <c r="C13" s="6">
        <f t="shared" si="0"/>
        <v>5.8</v>
      </c>
      <c r="D13" s="6">
        <f t="shared" si="0"/>
        <v>5.4</v>
      </c>
      <c r="E13" s="6">
        <f t="shared" si="0"/>
        <v>9</v>
      </c>
      <c r="F13" s="6">
        <f t="shared" si="0"/>
        <v>7.5</v>
      </c>
      <c r="G13" s="6">
        <f t="shared" si="0"/>
        <v>6.3</v>
      </c>
      <c r="H13" s="6">
        <f t="shared" si="0"/>
        <v>4.3</v>
      </c>
      <c r="I13" s="6">
        <f t="shared" si="0"/>
        <v>6.2</v>
      </c>
      <c r="J13" s="6">
        <f t="shared" si="0"/>
        <v>4</v>
      </c>
      <c r="K13" s="6">
        <f t="shared" si="0"/>
        <v>1.7</v>
      </c>
    </row>
    <row r="14" spans="1:11">
      <c r="A14" s="8"/>
      <c r="B14" s="6"/>
      <c r="C14" s="6"/>
      <c r="D14" s="6"/>
    </row>
    <row r="16" spans="1:11">
      <c r="A16" t="s">
        <v>23</v>
      </c>
    </row>
    <row r="17" ht="17.6" spans="1:11">
      <c r="A17" s="4" t="s">
        <v>12</v>
      </c>
      <c r="B17">
        <f t="shared" ref="B17:K17" si="1">_xlfn.IFNA(RANK(B3,$B3:$K3),10)</f>
        <v>3</v>
      </c>
      <c r="C17">
        <f t="shared" si="1"/>
        <v>9</v>
      </c>
      <c r="D17">
        <f t="shared" si="1"/>
        <v>1</v>
      </c>
      <c r="E17">
        <f t="shared" si="1"/>
        <v>10</v>
      </c>
      <c r="F17">
        <f t="shared" si="1"/>
        <v>5</v>
      </c>
      <c r="G17">
        <f t="shared" si="1"/>
        <v>2</v>
      </c>
      <c r="H17">
        <f t="shared" si="1"/>
        <v>7</v>
      </c>
      <c r="I17">
        <f t="shared" si="1"/>
        <v>8</v>
      </c>
      <c r="J17">
        <f t="shared" si="1"/>
        <v>6</v>
      </c>
      <c r="K17">
        <f t="shared" si="1"/>
        <v>4</v>
      </c>
    </row>
    <row r="18" ht="17.6" spans="1:11">
      <c r="A18" s="4" t="s">
        <v>13</v>
      </c>
      <c r="B18">
        <f t="shared" ref="B18:K18" si="2">_xlfn.IFNA(RANK(B4,$B4:$K4),10)</f>
        <v>7</v>
      </c>
      <c r="C18">
        <f t="shared" si="2"/>
        <v>4</v>
      </c>
      <c r="D18">
        <f t="shared" si="2"/>
        <v>6</v>
      </c>
      <c r="E18">
        <f t="shared" si="2"/>
        <v>9</v>
      </c>
      <c r="F18">
        <f t="shared" si="2"/>
        <v>10</v>
      </c>
      <c r="G18">
        <f t="shared" si="2"/>
        <v>8</v>
      </c>
      <c r="H18">
        <f t="shared" si="2"/>
        <v>5</v>
      </c>
      <c r="I18">
        <f t="shared" si="2"/>
        <v>2</v>
      </c>
      <c r="J18">
        <f t="shared" si="2"/>
        <v>3</v>
      </c>
      <c r="K18">
        <f t="shared" si="2"/>
        <v>1</v>
      </c>
    </row>
    <row r="19" ht="17.6" spans="1:11">
      <c r="A19" s="4" t="s">
        <v>14</v>
      </c>
      <c r="B19">
        <f t="shared" ref="B19:K19" si="3">_xlfn.IFNA(RANK(B5,$B5:$K5),10)</f>
        <v>4</v>
      </c>
      <c r="C19">
        <f t="shared" si="3"/>
        <v>5</v>
      </c>
      <c r="D19">
        <f t="shared" si="3"/>
        <v>8</v>
      </c>
      <c r="E19">
        <f t="shared" si="3"/>
        <v>6</v>
      </c>
      <c r="F19">
        <f t="shared" si="3"/>
        <v>7</v>
      </c>
      <c r="G19">
        <f t="shared" si="3"/>
        <v>10</v>
      </c>
      <c r="H19">
        <f t="shared" si="3"/>
        <v>2</v>
      </c>
      <c r="I19">
        <f t="shared" si="3"/>
        <v>9</v>
      </c>
      <c r="J19">
        <f t="shared" si="3"/>
        <v>3</v>
      </c>
      <c r="K19">
        <f t="shared" si="3"/>
        <v>1</v>
      </c>
    </row>
    <row r="20" ht="17.6" spans="1:11">
      <c r="A20" s="4" t="s">
        <v>15</v>
      </c>
      <c r="B20">
        <f t="shared" ref="B20:K20" si="4">_xlfn.IFNA(RANK(B6,$B6:$K6),10)</f>
        <v>8</v>
      </c>
      <c r="C20">
        <f t="shared" si="4"/>
        <v>9</v>
      </c>
      <c r="D20">
        <f t="shared" si="4"/>
        <v>5</v>
      </c>
      <c r="E20">
        <f t="shared" si="4"/>
        <v>10</v>
      </c>
      <c r="F20">
        <f t="shared" si="4"/>
        <v>3</v>
      </c>
      <c r="G20">
        <f t="shared" si="4"/>
        <v>7</v>
      </c>
      <c r="H20">
        <f t="shared" si="4"/>
        <v>2</v>
      </c>
      <c r="I20">
        <f t="shared" si="4"/>
        <v>6</v>
      </c>
      <c r="J20">
        <f t="shared" si="4"/>
        <v>4</v>
      </c>
      <c r="K20">
        <f t="shared" si="4"/>
        <v>1</v>
      </c>
    </row>
    <row r="21" ht="17.6" spans="1:11">
      <c r="A21" s="4" t="s">
        <v>16</v>
      </c>
      <c r="B21">
        <f t="shared" ref="B21:K21" si="5">_xlfn.IFNA(RANK(B7,$B7:$K7),10)</f>
        <v>2</v>
      </c>
      <c r="C21">
        <f t="shared" si="5"/>
        <v>5</v>
      </c>
      <c r="D21">
        <f t="shared" si="5"/>
        <v>4</v>
      </c>
      <c r="E21">
        <f t="shared" si="5"/>
        <v>10</v>
      </c>
      <c r="F21">
        <f t="shared" si="5"/>
        <v>9</v>
      </c>
      <c r="G21">
        <f t="shared" si="5"/>
        <v>2</v>
      </c>
      <c r="H21">
        <f t="shared" si="5"/>
        <v>7</v>
      </c>
      <c r="I21">
        <f t="shared" si="5"/>
        <v>8</v>
      </c>
      <c r="J21">
        <f t="shared" si="5"/>
        <v>6</v>
      </c>
      <c r="K21">
        <f t="shared" si="5"/>
        <v>1</v>
      </c>
    </row>
    <row r="22" ht="17.6" spans="1:11">
      <c r="A22" s="4" t="s">
        <v>17</v>
      </c>
      <c r="B22">
        <f t="shared" ref="B22:K22" si="6">_xlfn.IFNA(RANK(B8,$B8:$K8),10)</f>
        <v>5</v>
      </c>
      <c r="C22">
        <f t="shared" si="6"/>
        <v>1</v>
      </c>
      <c r="D22">
        <f t="shared" si="6"/>
        <v>10</v>
      </c>
      <c r="E22">
        <f t="shared" si="6"/>
        <v>6</v>
      </c>
      <c r="F22">
        <f t="shared" si="6"/>
        <v>10</v>
      </c>
      <c r="G22">
        <f t="shared" si="6"/>
        <v>10</v>
      </c>
      <c r="H22">
        <f t="shared" si="6"/>
        <v>7</v>
      </c>
      <c r="I22">
        <f t="shared" si="6"/>
        <v>2</v>
      </c>
      <c r="J22">
        <f t="shared" si="6"/>
        <v>3</v>
      </c>
      <c r="K22">
        <f t="shared" si="6"/>
        <v>4</v>
      </c>
    </row>
    <row r="23" ht="17.6" spans="1:11">
      <c r="A23" s="4" t="s">
        <v>18</v>
      </c>
      <c r="B23">
        <f t="shared" ref="B23:K23" si="7">_xlfn.IFNA(RANK(B9,$B9:$K9),10)</f>
        <v>2</v>
      </c>
      <c r="C23">
        <f t="shared" si="7"/>
        <v>7</v>
      </c>
      <c r="D23">
        <f t="shared" si="7"/>
        <v>4</v>
      </c>
      <c r="E23">
        <f t="shared" si="7"/>
        <v>10</v>
      </c>
      <c r="F23">
        <f t="shared" si="7"/>
        <v>9</v>
      </c>
      <c r="G23">
        <f t="shared" si="7"/>
        <v>6</v>
      </c>
      <c r="H23">
        <f t="shared" si="7"/>
        <v>3</v>
      </c>
      <c r="I23">
        <f t="shared" si="7"/>
        <v>8</v>
      </c>
      <c r="J23">
        <f t="shared" si="7"/>
        <v>5</v>
      </c>
      <c r="K23">
        <f t="shared" si="7"/>
        <v>1</v>
      </c>
    </row>
    <row r="24" ht="17.6" spans="1:11">
      <c r="A24" s="4" t="s">
        <v>19</v>
      </c>
      <c r="B24">
        <f t="shared" ref="B24:K24" si="8">_xlfn.IFNA(RANK(B10,$B10:$K10),10)</f>
        <v>7</v>
      </c>
      <c r="C24">
        <f t="shared" si="8"/>
        <v>9</v>
      </c>
      <c r="D24">
        <f t="shared" si="8"/>
        <v>4</v>
      </c>
      <c r="E24">
        <f t="shared" si="8"/>
        <v>10</v>
      </c>
      <c r="F24">
        <f t="shared" si="8"/>
        <v>8</v>
      </c>
      <c r="G24">
        <f t="shared" si="8"/>
        <v>3</v>
      </c>
      <c r="H24">
        <f t="shared" si="8"/>
        <v>5</v>
      </c>
      <c r="I24">
        <f t="shared" si="8"/>
        <v>6</v>
      </c>
      <c r="J24">
        <f t="shared" si="8"/>
        <v>2</v>
      </c>
      <c r="K24">
        <f t="shared" si="8"/>
        <v>1</v>
      </c>
    </row>
    <row r="25" ht="17.6" spans="1:11">
      <c r="A25" s="4" t="s">
        <v>20</v>
      </c>
      <c r="B25">
        <f t="shared" ref="B25:K25" si="9">_xlfn.IFNA(RANK(B11,$B11:$K11),10)</f>
        <v>1</v>
      </c>
      <c r="C25">
        <f t="shared" si="9"/>
        <v>6</v>
      </c>
      <c r="D25">
        <f t="shared" si="9"/>
        <v>8</v>
      </c>
      <c r="E25">
        <f t="shared" si="9"/>
        <v>9</v>
      </c>
      <c r="F25">
        <f t="shared" si="9"/>
        <v>7</v>
      </c>
      <c r="G25">
        <f t="shared" si="9"/>
        <v>9</v>
      </c>
      <c r="H25">
        <f t="shared" si="9"/>
        <v>3</v>
      </c>
      <c r="I25">
        <f t="shared" si="9"/>
        <v>5</v>
      </c>
      <c r="J25">
        <f t="shared" si="9"/>
        <v>4</v>
      </c>
      <c r="K25">
        <f t="shared" si="9"/>
        <v>2</v>
      </c>
    </row>
    <row r="26" ht="17.6" spans="1:11">
      <c r="A26" s="4" t="s">
        <v>21</v>
      </c>
      <c r="B26">
        <f t="shared" ref="B26:K26" si="10">_xlfn.IFNA(RANK(B12,$B12:$K12),10)</f>
        <v>9</v>
      </c>
      <c r="C26">
        <f t="shared" si="10"/>
        <v>3</v>
      </c>
      <c r="D26">
        <f t="shared" si="10"/>
        <v>4</v>
      </c>
      <c r="E26">
        <f t="shared" si="10"/>
        <v>10</v>
      </c>
      <c r="F26">
        <f t="shared" si="10"/>
        <v>7</v>
      </c>
      <c r="G26">
        <f t="shared" si="10"/>
        <v>6</v>
      </c>
      <c r="H26">
        <f t="shared" si="10"/>
        <v>2</v>
      </c>
      <c r="I26">
        <f t="shared" si="10"/>
        <v>8</v>
      </c>
      <c r="J26">
        <f t="shared" si="10"/>
        <v>4</v>
      </c>
      <c r="K26">
        <f t="shared" si="10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F1</vt:lpstr>
      <vt:lpstr>Prec</vt:lpstr>
      <vt:lpstr>Recall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sunwu</dc:creator>
  <cp:lastModifiedBy>孙武</cp:lastModifiedBy>
  <dcterms:created xsi:type="dcterms:W3CDTF">2026-06-17T02:45:00Z</dcterms:created>
  <dcterms:modified xsi:type="dcterms:W3CDTF">2026-06-16T20:17:03Z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BF256BBEC6213DE02F672F6AF632D0EE_41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