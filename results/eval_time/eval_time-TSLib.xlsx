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240" windowHeight="13400" activeTab="1"/>
  </bookViews>
  <sheets>
    <sheet name="EvalTime" sheetId="4" r:id="rId1"/>
    <sheet name="mlflow-data" sheetId="1" r:id="rId2"/>
    <sheet name="datasetmap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<sst xmlns="http://schemas.openxmlformats.org/spreadsheetml/2006/main" count="5712" uniqueCount="1534">
  <si>
    <t>平均值项:eval_time</t>
  </si>
  <si>
    <t>列标签</t>
  </si>
  <si>
    <t>行标签</t>
  </si>
  <si>
    <t>EC</t>
  </si>
  <si>
    <t>FD</t>
  </si>
  <si>
    <t>HB</t>
  </si>
  <si>
    <t>HW</t>
  </si>
  <si>
    <t>JV</t>
  </si>
  <si>
    <t>PEMS-SF</t>
  </si>
  <si>
    <t>SAD</t>
  </si>
  <si>
    <t>SRS1</t>
  </si>
  <si>
    <t>SRS2</t>
  </si>
  <si>
    <t>UWG</t>
  </si>
  <si>
    <t>MambaSL</t>
  </si>
  <si>
    <t>PatchTST</t>
  </si>
  <si>
    <t>TimesNet</t>
  </si>
  <si>
    <t>run_id</t>
  </si>
  <si>
    <t>experiment_id</t>
  </si>
  <si>
    <t>status</t>
  </si>
  <si>
    <t>artifact_uri</t>
  </si>
  <si>
    <t>start_time</t>
  </si>
  <si>
    <t>end_time</t>
  </si>
  <si>
    <t>metrics.test_start</t>
  </si>
  <si>
    <t>metrics.accuracy</t>
  </si>
  <si>
    <t>metrics.f1</t>
  </si>
  <si>
    <t>metrics.test_elapsed_seconds</t>
  </si>
  <si>
    <t>metrics.precision</t>
  </si>
  <si>
    <t>metrics.train_end</t>
  </si>
  <si>
    <t>metrics.recall</t>
  </si>
  <si>
    <t>metrics.test_end</t>
  </si>
  <si>
    <t>metrics.train_start</t>
  </si>
  <si>
    <t>metrics.train_elapsed_seconds</t>
  </si>
  <si>
    <t>params.mask_rate</t>
  </si>
  <si>
    <t>params.num_kernels</t>
  </si>
  <si>
    <t>params.devices</t>
  </si>
  <si>
    <t>params.des</t>
  </si>
  <si>
    <t>params.permutation</t>
  </si>
  <si>
    <t>params.moving_avg</t>
  </si>
  <si>
    <t>params.pred_len</t>
  </si>
  <si>
    <t>params.num_workers</t>
  </si>
  <si>
    <t>params.n_heads</t>
  </si>
  <si>
    <t>params.wdba</t>
  </si>
  <si>
    <t>params.d_conv</t>
  </si>
  <si>
    <t>params.use_amp</t>
  </si>
  <si>
    <t>params.inverse</t>
  </si>
  <si>
    <t>params.lradj</t>
  </si>
  <si>
    <t>params.run_cmd</t>
  </si>
  <si>
    <t>params.down_sampling_window</t>
  </si>
  <si>
    <t>params.spawner</t>
  </si>
  <si>
    <t>params.use_dtw</t>
  </si>
  <si>
    <t>params.features</t>
  </si>
  <si>
    <t>params.e_layers</t>
  </si>
  <si>
    <t>params.individual</t>
  </si>
  <si>
    <t>params.num_class</t>
  </si>
  <si>
    <t>params.tv_B</t>
  </si>
  <si>
    <t>params.augmentation_ratio</t>
  </si>
  <si>
    <t>params.discdtw</t>
  </si>
  <si>
    <t>params.learning_rate</t>
  </si>
  <si>
    <t>params.d_ff</t>
  </si>
  <si>
    <t>params.use_gpu</t>
  </si>
  <si>
    <t>params.use_norm</t>
  </si>
  <si>
    <t>params.top_k</t>
  </si>
  <si>
    <t>params.alpha</t>
  </si>
  <si>
    <t>params.dropout</t>
  </si>
  <si>
    <t>params.scaling</t>
  </si>
  <si>
    <t>params.conv_channel</t>
  </si>
  <si>
    <t>params.seed</t>
  </si>
  <si>
    <t>params.is_training</t>
  </si>
  <si>
    <t>params.patch_len</t>
  </si>
  <si>
    <t>params.root_path</t>
  </si>
  <si>
    <t>params.seasonal_patterns</t>
  </si>
  <si>
    <t>params.patience</t>
  </si>
  <si>
    <t>params.discsdtw</t>
  </si>
  <si>
    <t>params.task_name</t>
  </si>
  <si>
    <t>params.__id</t>
  </si>
  <si>
    <t>params.use_D</t>
  </si>
  <si>
    <t>params.target</t>
  </si>
  <si>
    <t>params.gcn_depth</t>
  </si>
  <si>
    <t>params.extra_tag</t>
  </si>
  <si>
    <t>params.use_multi_gpu</t>
  </si>
  <si>
    <t>params.down_sampling_layers</t>
  </si>
  <si>
    <t>params.tv_dt</t>
  </si>
  <si>
    <t>params.gpu_type</t>
  </si>
  <si>
    <t>params.d_model</t>
  </si>
  <si>
    <t>params.data_path</t>
  </si>
  <si>
    <t>params.expand</t>
  </si>
  <si>
    <t>params.embed</t>
  </si>
  <si>
    <t>params.tv_C</t>
  </si>
  <si>
    <t>params.seg_len</t>
  </si>
  <si>
    <t>params.windowwarp</t>
  </si>
  <si>
    <t>params.train_epochs</t>
  </si>
  <si>
    <t>params.gcn_dropout</t>
  </si>
  <si>
    <t>params.timewarp</t>
  </si>
  <si>
    <t>params.args</t>
  </si>
  <si>
    <t>params.model</t>
  </si>
  <si>
    <t>params.settings</t>
  </si>
  <si>
    <t>params.down_sampling_method</t>
  </si>
  <si>
    <t>params.seq_len</t>
  </si>
  <si>
    <t>params.batch_size</t>
  </si>
  <si>
    <t>params.shapedtwwarp</t>
  </si>
  <si>
    <t>params.data</t>
  </si>
  <si>
    <t>params.label_len</t>
  </si>
  <si>
    <t>params.d_layers</t>
  </si>
  <si>
    <t>params.anomaly_ratio</t>
  </si>
  <si>
    <t>params.dec_in</t>
  </si>
  <si>
    <t>params.envs</t>
  </si>
  <si>
    <t>params.c_out</t>
  </si>
  <si>
    <t>params.p_hidden_dims</t>
  </si>
  <si>
    <t>params.gpu</t>
  </si>
  <si>
    <t>params.model_id</t>
  </si>
  <si>
    <t>params.decomp_method</t>
  </si>
  <si>
    <t>params.id</t>
  </si>
  <si>
    <t>params.enc_in</t>
  </si>
  <si>
    <t>params.randompermutation</t>
  </si>
  <si>
    <t>params.loss</t>
  </si>
  <si>
    <t>params.distil</t>
  </si>
  <si>
    <t>params.jitter</t>
  </si>
  <si>
    <t>params.channel_independence</t>
  </si>
  <si>
    <t>params.p_hidden_layers</t>
  </si>
  <si>
    <t>params.windowslice</t>
  </si>
  <si>
    <t>params.magwarp</t>
  </si>
  <si>
    <t>params.rotation</t>
  </si>
  <si>
    <t>params.device</t>
  </si>
  <si>
    <t>params.freq</t>
  </si>
  <si>
    <t>params.checkpoints</t>
  </si>
  <si>
    <t>params.top_p</t>
  </si>
  <si>
    <t>params.node_dim</t>
  </si>
  <si>
    <t>params.propalpha</t>
  </si>
  <si>
    <t>params.pos</t>
  </si>
  <si>
    <t>params.itr</t>
  </si>
  <si>
    <t>params.activation</t>
  </si>
  <si>
    <t>params.dtwwarp</t>
  </si>
  <si>
    <t>params.skip_channel</t>
  </si>
  <si>
    <t>params.factor</t>
  </si>
  <si>
    <t>tags.mlflow.source.type</t>
  </si>
  <si>
    <t>tags.mlflow.runName</t>
  </si>
  <si>
    <t>tags.mlflow.source.name</t>
  </si>
  <si>
    <t>tags.mlflow.user</t>
  </si>
  <si>
    <t>dataset</t>
  </si>
  <si>
    <t>eval_time</t>
  </si>
  <si>
    <t>78d2f29066614cd2a31d0c334cc83886</t>
  </si>
  <si>
    <t>FINISHED</t>
  </si>
  <si>
    <t>mlflow-artifacts:/32/78d2f29066614cd2a31d0c334cc83886/artifacts</t>
  </si>
  <si>
    <t>2026-05-18 20:15:38.654000+00:00</t>
  </si>
  <si>
    <t>2026-05-18 20:19:50.728000+00:00</t>
  </si>
  <si>
    <t>0,1,2,3</t>
  </si>
  <si>
    <t>Exp</t>
  </si>
  <si>
    <t>type1</t>
  </si>
  <si>
    <t>run.py --task_name classification --is_training 1 --root_path ./dataset/PEMS-SF/ --model_id PEMS-SF --model PatchTST --data UEA --e_layers 3 --batch_size 32 --d_model 128 --d_ff 256 --top_k 3 --des Exp --itr 1 --learning_rate 0.001 --train_epochs 1000 --patience 10 --seed 2026 --id 7e9c43feb5f057ebac7f88cf8f9ff7ec788086531e8a82f173ecc096de9232f1</t>
  </si>
  <si>
    <t>M</t>
  </si>
  <si>
    <t>./dataset/PEMS-SF/</t>
  </si>
  <si>
    <t>Monthly</t>
  </si>
  <si>
    <t>classification</t>
  </si>
  <si>
    <t>7e9c43feb5f057ebac7f88cf8f9ff7ec788086531e8a82f173ecc096de9232f1</t>
  </si>
  <si>
    <t>OT</t>
  </si>
  <si>
    <t>cuda</t>
  </si>
  <si>
    <t>ETTh1.csv</t>
  </si>
  <si>
    <t>timeF</t>
  </si>
  <si>
    <t>Namespace(task_name='classification', is_training=1, model_id='PEMS-SF', model='PatchTST',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id='7e9c43feb5f057ebac7f88cf8f9ff7ec788086531e8a82f173ecc096de9232f1', device=device(type='cuda', index=0), num_class=7)</t>
  </si>
  <si>
    <t>classification_PEMS-SF_PatchTST_UEA_ftM_sl144_ll48_pl0_dm128_nh8_el3_dl1_df256_expand2_dc4_fc1_ebtimeF_dtTrue_Exp_07e9c43feb5f057ebac7f88cf8f9ff7ec788086531e8a82f173ecc096de9232f1</t>
  </si>
  <si>
    <t>None</t>
  </si>
  <si>
    <t>UEA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</si>
  <si>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'3b140f3ae629427a9857538b76c16661',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'1779135018824289637', 'TRAIN_END': '1779135304975238686', 'TEST_START': '1779135304975320854', 'TEST_END': '1779135338618971407'}</t>
  </si>
  <si>
    <t>[128, 128]</t>
  </si>
  <si>
    <t>moving_avg</t>
  </si>
  <si>
    <t>MSE</t>
  </si>
  <si>
    <t>cuda:0</t>
  </si>
  <si>
    <t>h</t>
  </si>
  <si>
    <t>./checkpoints/</t>
  </si>
  <si>
    <t>gelu</t>
  </si>
  <si>
    <t>LOCAL</t>
  </si>
  <si>
    <t>run.py</t>
  </si>
  <si>
    <t>sunwu</t>
  </si>
  <si>
    <t>45267c8c5cc24e2aa658de42f88e37fd</t>
  </si>
  <si>
    <t>mlflow-artifacts:/32/45267c8c5cc24e2aa658de42f88e37fd/artifacts</t>
  </si>
  <si>
    <t>2026-05-18 20:07:43.725000+00:00</t>
  </si>
  <si>
    <t>2026-05-18 20:07:56.686000+00:00</t>
  </si>
  <si>
    <t>run.py --task_name classification --is_training 1 --root_path ./dataset/SpokenArabicDigits/ --model_id SpokenArabicDigits --model PatchTST --data UEA --e_layers 3 --batch_size 32 --d_model 128 --d_ff 256 --top_k 3 --des Exp --itr 1 --learning_rate 0.001 --train_epochs 1000 --patience 10 --seed 2026 --id 2bacfecb5df1f6c3aabad84b3459c51ee618378e4e06c574a8fbaea92f13f245</t>
  </si>
  <si>
    <t>./dataset/SpokenArabicDigits/</t>
  </si>
  <si>
    <t>2bacfecb5df1f6c3aabad84b3459c51ee618378e4e06c574a8fbaea92f13f245</t>
  </si>
  <si>
    <t>Namespace(task_name='classification', is_training=1, model_id='SpokenArabicDigits', model='PatchTST',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id='2bacfecb5df1f6c3aabad84b3459c51ee618378e4e06c574a8fbaea92f13f245', device=device(type='cuda', index=0), num_class=10)</t>
  </si>
  <si>
    <t>classification_SpokenArabicDigits_PatchTST_UEA_ftM_sl93_ll48_pl0_dm128_nh8_el3_dl1_df256_expand2_dc4_fc1_ebtimeF_dtTrue_Exp_02bacfecb5df1f6c3aabad84b3459c51ee618378e4e06c574a8fbaea92f13f245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</si>
  <si>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'cb4ae17985774fe98e569cfb8e285845',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'1779134661101720279', 'TRAIN_END': '1779134857671587728', 'TEST_START': '1779134857671654214', 'TEST_END': '1779134863676272724'}</t>
  </si>
  <si>
    <t>SpokenArabicDigits</t>
  </si>
  <si>
    <t>dc7af7c24f56469d968edf7f16c446ad</t>
  </si>
  <si>
    <t>mlflow-artifacts:/32/dc7af7c24f56469d968edf7f16c446ad/artifacts</t>
  </si>
  <si>
    <t>2026-05-18 20:06:39.123000+00:00</t>
  </si>
  <si>
    <t>2026-05-18 20:06:51.162000+00:00</t>
  </si>
  <si>
    <t>run.py --task_name classification --is_training 1 --root_path ./dataset/FaceDetection/ --model_id FaceDetection --model PatchTST --data UEA --e_layers 3 --batch_size 32 --d_model 128 --d_ff 256 --top_k 3 --des Exp --itr 1 --learning_rate 0.001 --train_epochs 1000 --patience 10 --seed 2026 --id ae67fc8457cf97b1d2eb8b82076b9672b9546ecb66095ff792c5af39b3489eab</t>
  </si>
  <si>
    <t>./dataset/FaceDetection/</t>
  </si>
  <si>
    <t>ae67fc8457cf97b1d2eb8b82076b9672b9546ecb66095ff792c5af39b3489eab</t>
  </si>
  <si>
    <t>Namespace(task_name='classification', is_training=1, model_id='FaceDetection', model='PatchTST',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id='ae67fc8457cf97b1d2eb8b82076b9672b9546ecb66095ff792c5af39b3489eab', device=device(type='cuda', index=0), num_class=2)</t>
  </si>
  <si>
    <t>classification_FaceDetection_PatchTST_UEA_ftM_sl62_ll48_pl0_dm128_nh8_el3_dl1_df256_expand2_dc4_fc1_ebtimeF_dtTrue_Exp_0ae67fc8457cf97b1d2eb8b82076b9672b9546ecb66095ff792c5af39b3489eab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</si>
  <si>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'b90f95f2c4f94f8482d4b4bc7f40e84b',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'1779134199090866439', 'TRAIN_END': '1779134717180068400', 'TEST_START': '1779134717180125225', 'TEST_END': '1779134799074922522'}</t>
  </si>
  <si>
    <t>FaceDetection</t>
  </si>
  <si>
    <t>20bae3b803fb4510901aadc48310ef3d</t>
  </si>
  <si>
    <t>mlflow-artifacts:/32/20bae3b803fb4510901aadc48310ef3d/artifacts</t>
  </si>
  <si>
    <t>2026-05-18 20:03:31.532000+00:00</t>
  </si>
  <si>
    <t>2026-05-18 20:03:37.211000+00:00</t>
  </si>
  <si>
    <t>run.py --task_name classification --is_training 1 --root_path ./dataset/SelfRegulationSCP2/ --model_id SelfRegulationSCP2 --model PatchTST --data UEA --e_layers 3 --batch_size 32 --d_model 128 --d_ff 256 --top_k 3 --des Exp --itr 1 --learning_rate 0.001 --train_epochs 1000 --patience 10 --seed 2026 --id 5e0ec475124df73a8051fc0ef87242fe511915f156ae906e17e5ccb5ad333b8f</t>
  </si>
  <si>
    <t>./dataset/SelfRegulationSCP2/</t>
  </si>
  <si>
    <t>5e0ec475124df73a8051fc0ef87242fe511915f156ae906e17e5ccb5ad333b8f</t>
  </si>
  <si>
    <t>Namespace(task_name='classification', is_training=1, model_id='SelfRegulationSCP2', model='PatchTST',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id='5e0ec475124df73a8051fc0ef87242fe511915f156ae906e17e5ccb5ad333b8f', device=device(type='cuda', index=0), num_class=2)</t>
  </si>
  <si>
    <t>classification_SelfRegulationSCP2_PatchTST_UEA_ftM_sl1152_ll48_pl0_dm128_nh8_el3_dl1_df256_expand2_dc4_fc1_ebtimeF_dtTrue_Exp_05e0ec475124df73a8051fc0ef87242fe511915f156ae906e17e5ccb5ad333b8f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</si>
  <si>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'3c0ab1173f094af08fb0bd11460fb0bb',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'1779134543216645266', 'TRAIN_END': '1779134609969831681', 'TEST_START': '1779134609969894184', 'TEST_END': '1779134611469228904'}</t>
  </si>
  <si>
    <t>SelfRegulationSCP2</t>
  </si>
  <si>
    <t>81c0cefd498f47ada57611a2af61456c</t>
  </si>
  <si>
    <t>mlflow-artifacts:/32/81c0cefd498f47ada57611a2af61456c/artifacts</t>
  </si>
  <si>
    <t>2026-05-18 20:01:58.139000+00:00</t>
  </si>
  <si>
    <t>2026-05-18 20:02:03.360000+00:00</t>
  </si>
  <si>
    <t>run.py --task_name classification --is_training 1 --root_path ./dataset/SelfRegulationSCP1/ --model_id SelfRegulationSCP1 --model PatchTST --data UEA --e_layers 3 --batch_size 32 --d_model 128 --d_ff 256 --top_k 3 --des Exp --itr 1 --learning_rate 0.001 --train_epochs 1000 --patience 10 --seed 2026 --id 2498077efd113788834027269e88238a63b4c4d9fec922d1b9073470310b3c50</t>
  </si>
  <si>
    <t>./dataset/SelfRegulationSCP1/</t>
  </si>
  <si>
    <t>2498077efd113788834027269e88238a63b4c4d9fec922d1b9073470310b3c50</t>
  </si>
  <si>
    <t>Namespace(task_name='classification', is_training=1, model_id='SelfRegulationSCP1', model='PatchTST',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id='2498077efd113788834027269e88238a63b4c4d9fec922d1b9073470310b3c50', device=device(type='cuda', index=0), num_class=2)</t>
  </si>
  <si>
    <t>classification_SelfRegulationSCP1_PatchTST_UEA_ftM_sl896_ll48_pl0_dm128_nh8_el3_dl1_df256_expand2_dc4_fc1_ebtimeF_dtTrue_Exp_02498077efd113788834027269e88238a63b4c4d9fec922d1b9073470310b3c50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</si>
  <si>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'1ab79d82527246beb53d68718bcc672e',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'1779134489518182820', 'TRAIN_END': '1779134516801944118', 'TEST_START': '1779134516802010081', 'TEST_END': '1779134518083013488'}</t>
  </si>
  <si>
    <t>SelfRegulationSCP1</t>
  </si>
  <si>
    <t>2a8f98daca4e4c928df444bcbadd0c17</t>
  </si>
  <si>
    <t>mlflow-artifacts:/32/2a8f98daca4e4c928df444bcbadd0c17/artifacts</t>
  </si>
  <si>
    <t>2026-05-18 20:01:05.445000+00:00</t>
  </si>
  <si>
    <t>2026-05-18 20:01:09.918000+00:00</t>
  </si>
  <si>
    <t>run.py --task_name classification --is_training 1 --root_path ./dataset/JapaneseVowels/ --model_id JapaneseVowels --model PatchTST --data UEA --e_layers 3 --batch_size 32 --d_model 128 --d_ff 256 --top_k 3 --des Exp --itr 1 --learning_rate 0.001 --train_epochs 1000 --patience 10 --seed 2026 --id b86cf4d08ffc4ae89897de23e26f2a6ef252e8dedadf38f8e2188a512061fd35</t>
  </si>
  <si>
    <t>./dataset/JapaneseVowels/</t>
  </si>
  <si>
    <t>b86cf4d08ffc4ae89897de23e26f2a6ef252e8dedadf38f8e2188a512061fd35</t>
  </si>
  <si>
    <t>Namespace(task_name='classification', is_training=1, model_id='JapaneseVowels', model='PatchTST',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id='b86cf4d08ffc4ae89897de23e26f2a6ef252e8dedadf38f8e2188a512061fd35', device=device(type='cuda', index=0), num_class=9)</t>
  </si>
  <si>
    <t>classification_JapaneseVowels_PatchTST_UEA_ftM_sl29_ll48_pl0_dm128_nh8_el3_dl1_df256_expand2_dc4_fc1_ebtimeF_dtTrue_Exp_0b86cf4d08ffc4ae89897de23e26f2a6ef252e8dedadf38f8e2188a512061fd35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</si>
  <si>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'800d8f387732443d934280ad806ce85d',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'1779134405299549969', 'TRAIN_END': '1779134464278625376', 'TEST_START': '1779134464278721913', 'TEST_END': '1779134465387271213'}</t>
  </si>
  <si>
    <t>JapaneseVowels</t>
  </si>
  <si>
    <t>c8d3da638ffe42d788b9ccdd60dc0dd8</t>
  </si>
  <si>
    <t>mlflow-artifacts:/32/c8d3da638ffe42d788b9ccdd60dc0dd8/artifacts</t>
  </si>
  <si>
    <t>2026-05-18 19:59:43.038000+00:00</t>
  </si>
  <si>
    <t>2026-05-18 19:59:48.008000+00:00</t>
  </si>
  <si>
    <t>run.py --task_name classification --is_training 1 --root_path ./dataset/Heartbeat/ --model_id Heartbeat --model PatchTST --data UEA --e_layers 3 --batch_size 32 --d_model 128 --d_ff 256 --top_k 3 --des Exp --itr 1 --learning_rate 0.001 --train_epochs 1000 --patience 10 --seed 2026 --id 83c95b8971616fde171f39d9938ec9403e0335ec288e31413c6c4b0f79ae76dd</t>
  </si>
  <si>
    <t>./dataset/Heartbeat/</t>
  </si>
  <si>
    <t>83c95b8971616fde171f39d9938ec9403e0335ec288e31413c6c4b0f79ae76dd</t>
  </si>
  <si>
    <t>Namespace(task_name='classification', is_training=1, model_id='Heartbeat', model='PatchTST',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id='83c95b8971616fde171f39d9938ec9403e0335ec288e31413c6c4b0f79ae76dd', device=device(type='cuda', index=0), num_class=2)</t>
  </si>
  <si>
    <t>classification_Heartbeat_PatchTST_UEA_ftM_sl405_ll48_pl0_dm128_nh8_el3_dl1_df256_expand2_dc4_fc1_ebtimeF_dtTrue_Exp_083c95b8971616fde171f39d9938ec9403e0335ec288e31413c6c4b0f79ae76dd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</si>
  <si>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'db77e3aacce145be87ec8e4b59e37222',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'1779134330600422053', 'TRAIN_END': '1779134379092112749', 'TEST_START': '1779134379092224025', 'TEST_END': '1779134382968378624'}</t>
  </si>
  <si>
    <t>Heartbeat</t>
  </si>
  <si>
    <t>903ff783e2714fbe917d180ab42ce6c0</t>
  </si>
  <si>
    <t>mlflow-artifacts:/32/903ff783e2714fbe917d180ab42ce6c0/artifacts</t>
  </si>
  <si>
    <t>2026-05-18 19:58:03.847000+00:00</t>
  </si>
  <si>
    <t>2026-05-18 19:58:11.656000+00:00</t>
  </si>
  <si>
    <t>run.py --task_name classification --is_training 1 --root_path ./dataset/Handwriting/ --model_id Handwriting --model PatchTST --data UEA --e_layers 3 --batch_size 32 --d_model 128 --d_ff 256 --top_k 3 --des Exp --itr 1 --learning_rate 0.001 --train_epochs 1000 --patience 10 --seed 2026 --id b00ba4f2fd7f892250cdf379bfc4bc916c19a154bee665b33e0c7e05152f1e70</t>
  </si>
  <si>
    <t>./dataset/Handwriting/</t>
  </si>
  <si>
    <t>b00ba4f2fd7f892250cdf379bfc4bc916c19a154bee665b33e0c7e05152f1e70</t>
  </si>
  <si>
    <t>Namespace(task_name='classification', is_training=1, model_id='Handwriting', model='PatchTST',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id='b00ba4f2fd7f892250cdf379bfc4bc916c19a154bee665b33e0c7e05152f1e70', device=device(type='cuda', index=0), num_class=26)</t>
  </si>
  <si>
    <t>classification_Handwriting_PatchTST_UEA_ftM_sl152_ll48_pl0_dm128_nh8_el3_dl1_df256_expand2_dc4_fc1_ebtimeF_dtTrue_Exp_0b00ba4f2fd7f892250cdf379bfc4bc916c19a154bee665b33e0c7e05152f1e70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</si>
  <si>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'f2c63f2437154be6bc9e843297eb7baf',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'1779134231385974531', 'TRAIN_END': '1779134282515841646', 'TEST_START': '1779134282515993522', 'TEST_END': '1779134283800329578'}</t>
  </si>
  <si>
    <t>Handwriting</t>
  </si>
  <si>
    <t>679875db92924b2f933767b13da754ef</t>
  </si>
  <si>
    <t>mlflow-artifacts:/32/679875db92924b2f933767b13da754ef/artifacts</t>
  </si>
  <si>
    <t>2026-05-18 19:56:46.684000+00:00</t>
  </si>
  <si>
    <t>2026-05-18 19:56:52.017000+00:00</t>
  </si>
  <si>
    <t>run.py --task_name classification --is_training 1 --root_path ./dataset/PEMS-SF/ --model_id PEMS-SF --model PatchTST --data UEA --e_layers 3 --batch_size 32 --d_model 128 --d_ff 256 --top_k 3 --des Exp --itr 1 --learning_rate 0.001 --train_epochs 1000 --patience 10 --seed 1234 --id 5bc268d1149589e008b0fff2492434d0fd622ffbc64555a986f02ee38a930ed0</t>
  </si>
  <si>
    <t>5bc268d1149589e008b0fff2492434d0fd622ffbc64555a986f02ee38a930ed0</t>
  </si>
  <si>
    <t>Namespace(task_name='classification', is_training=1, model_id='PEMS-SF', model='PatchTST',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id='5bc268d1149589e008b0fff2492434d0fd622ffbc64555a986f02ee38a930ed0', device=device(type='cuda', index=0), num_class=7)</t>
  </si>
  <si>
    <t>classification_PEMS-SF_PatchTST_UEA_ftM_sl144_ll48_pl0_dm128_nh8_el3_dl1_df256_expand2_dc4_fc1_ebtimeF_dtTrue_Exp_05bc268d1149589e008b0fff2492434d0fd622ffbc64555a986f02ee38a930ed0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</si>
  <si>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'ff24245855914fde8d5d50a45fde5593',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'1779133792683610403', 'TRAIN_END': '1779134172804638227', 'TEST_START': '1779134172804723664', 'TEST_END': '1779134206621928316'}</t>
  </si>
  <si>
    <t>d14c23b0716a41f090eec6dcf4d16522</t>
  </si>
  <si>
    <t>mlflow-artifacts:/32/d14c23b0716a41f090eec6dcf4d16522/artifacts</t>
  </si>
  <si>
    <t>2026-05-18 19:50:41.112000+00:00</t>
  </si>
  <si>
    <t>2026-05-18 19:50:46.016000+00:00</t>
  </si>
  <si>
    <t>run.py --task_name classification --is_training 1 --root_path ./dataset/EthanolConcentration/ --model_id EthanolConcentration --model PatchTST --data UEA --e_layers 3 --batch_size 32 --d_model 128 --d_ff 256 --top_k 3 --des Exp --itr 1 --learning_rate 0.001 --train_epochs 1000 --patience 10 --seed 2026 --id c94c89051f9a7724c2abd2baca301166c1381e55bd190d0eade46f4834ed18b8</t>
  </si>
  <si>
    <t>./dataset/EthanolConcentration/</t>
  </si>
  <si>
    <t>c94c89051f9a7724c2abd2baca301166c1381e55bd190d0eade46f4834ed18b8</t>
  </si>
  <si>
    <t>Namespace(task_name='classification', is_training=1, model_id='EthanolConcentration', model='PatchTST',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id='c94c89051f9a7724c2abd2baca301166c1381e55bd190d0eade46f4834ed18b8', device=device(type='cuda', index=0), num_class=4)</t>
  </si>
  <si>
    <t>classification_EthanolConcentration_PatchTST_UEA_ftM_sl1751_ll48_pl0_dm128_nh8_el3_dl1_df256_expand2_dc4_fc1_ebtimeF_dtTrue_Exp_0c94c89051f9a7724c2abd2baca301166c1381e55bd190d0eade46f4834ed18b8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</si>
  <si>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'a9fda40c85054ab2b12128fbcc24e444',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'1779133684294396897', 'TRAIN_END': '1779133839327210136', 'TEST_START': '1779133839327286082', 'TEST_END': '1779133841055089268'}</t>
  </si>
  <si>
    <t>EthanolConcentration</t>
  </si>
  <si>
    <t>5642acb619c449b882926f5e2eae0032</t>
  </si>
  <si>
    <t>mlflow-artifacts:/32/5642acb619c449b882926f5e2eae0032/artifacts</t>
  </si>
  <si>
    <t>2026-05-18 19:47:39.046000+00:00</t>
  </si>
  <si>
    <t>2026-05-18 19:47:44.261000+00:00</t>
  </si>
  <si>
    <t>run.py --task_name classification --is_training 1 --root_path ./dataset/UWaveGestureLibrary/ --model_id UWaveGestureLibrary --model PatchTST --data UEA --e_layers 3 --batch_size 32 --d_model 128 --d_ff 256 --top_k 3 --des Exp --itr 1 --learning_rate 0.001 --train_epochs 1000 --patience 10 --seed 2026 --id 5451565b718b9719a76e6518a8f9e3fd88be843cac629e29fd7c8db3fa0909e5</t>
  </si>
  <si>
    <t>./dataset/UWaveGestureLibrary/</t>
  </si>
  <si>
    <t>5451565b718b9719a76e6518a8f9e3fd88be843cac629e29fd7c8db3fa0909e5</t>
  </si>
  <si>
    <t>Namespace(task_name='classification', is_training=1, model_id='UWaveGestureLibrary', model='PatchTST',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id='5451565b718b9719a76e6518a8f9e3fd88be843cac629e29fd7c8db3fa0909e5', device=device(type='cuda', index=0), num_class=8)</t>
  </si>
  <si>
    <t>classification_UWaveGestureLibrary_PatchTST_UEA_ftM_sl315_ll48_pl0_dm128_nh8_el3_dl1_df256_expand2_dc4_fc1_ebtimeF_dtTrue_Exp_05451565b718b9719a76e6518a8f9e3fd88be843cac629e29fd7c8db3fa0909e5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</si>
  <si>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'8251d0838fcd42ebaa1ce8b4af040b48',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'1779133631032642598', 'TRAIN_END': '1779133658071040141', 'TEST_START': '1779133658071110265', 'TEST_END': '1779133658993399338'}</t>
  </si>
  <si>
    <t>UWaveGestureLibrary</t>
  </si>
  <si>
    <t>62daa339cae840f89b6bf4869aa765db</t>
  </si>
  <si>
    <t>mlflow-artifacts:/32/62daa339cae840f89b6bf4869aa765db/artifacts</t>
  </si>
  <si>
    <t>2026-05-18 19:46:48.992000+00:00</t>
  </si>
  <si>
    <t>2026-05-18 19:46:54.576000+00:00</t>
  </si>
  <si>
    <t>run.py --task_name classification --is_training 1 --root_path ./dataset/SpokenArabicDigits/ --model_id SpokenArabicDigits --model PatchTST --data UEA --e_layers 3 --batch_size 32 --d_model 128 --d_ff 256 --top_k 3 --des Exp --itr 1 --learning_rate 0.001 --train_epochs 1000 --patience 10 --seed 1234 --id 9f965f897dbdc3a1f7b98b8fda6499f7ad8d4d4ac762b7b5bab413d57e5f04c3</t>
  </si>
  <si>
    <t>9f965f897dbdc3a1f7b98b8fda6499f7ad8d4d4ac762b7b5bab413d57e5f04c3</t>
  </si>
  <si>
    <t>Namespace(task_name='classification', is_training=1, model_id='SpokenArabicDigits', model='PatchTST',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id='9f965f897dbdc3a1f7b98b8fda6499f7ad8d4d4ac762b7b5bab413d57e5f04c3', device=device(type='cuda', index=0), num_class=10)</t>
  </si>
  <si>
    <t>classification_SpokenArabicDigits_PatchTST_UEA_ftM_sl93_ll48_pl0_dm128_nh8_el3_dl1_df256_expand2_dc4_fc1_ebtimeF_dtTrue_Exp_09f965f897dbdc3a1f7b98b8fda6499f7ad8d4d4ac762b7b5bab413d57e5f04c3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</si>
  <si>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'e439f96163924537bbaf2a8f4e5c7690',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'1779133499569861817', 'TRAIN_END': '1779133602959193065', 'TEST_START': '1779133602959254726', 'TEST_END': '1779133608951393077'}</t>
  </si>
  <si>
    <t>531cd0dae75d4353b6dee8be78125932</t>
  </si>
  <si>
    <t>mlflow-artifacts:/32/531cd0dae75d4353b6dee8be78125932/artifacts</t>
  </si>
  <si>
    <t>2026-05-18 19:45:44.483000+00:00</t>
  </si>
  <si>
    <t>2026-05-18 19:45:50.222000+00:00</t>
  </si>
  <si>
    <t>run.py --task_name classification --is_training 1 --root_path ./dataset/FaceDetection/ --model_id FaceDetection --model PatchTST --data UEA --e_layers 3 --batch_size 32 --d_model 128 --d_ff 256 --top_k 3 --des Exp --itr 1 --learning_rate 0.001 --train_epochs 1000 --patience 10 --seed 1234 --id efd9939aeca52fe7d5775db9173ce8b3b3a11949880f2b88d3fb4a7a49fdcec7</t>
  </si>
  <si>
    <t>efd9939aeca52fe7d5775db9173ce8b3b3a11949880f2b88d3fb4a7a49fdcec7</t>
  </si>
  <si>
    <t>Namespace(task_name='classification', is_training=1, model_id='FaceDetection', model='PatchTST',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id='efd9939aeca52fe7d5775db9173ce8b3b3a11949880f2b88d3fb4a7a49fdcec7', device=device(type='cuda', index=0), num_class=2)</t>
  </si>
  <si>
    <t>classification_FaceDetection_PatchTST_UEA_ftM_sl62_ll48_pl0_dm128_nh8_el3_dl1_df256_expand2_dc4_fc1_ebtimeF_dtTrue_Exp_0efd9939aeca52fe7d5775db9173ce8b3b3a11949880f2b88d3fb4a7a49fdcec7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</si>
  <si>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'5c4d864ed5aa4b62bd8426fd89bc6483',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'1779132963358666151', 'TRAIN_END': '1779133464288822170', 'TEST_START': '1779133464288880317', 'TEST_END': '1779133544445740908'}</t>
  </si>
  <si>
    <t>17d0605c23074ba59ff78fab89cb51bc</t>
  </si>
  <si>
    <t>mlflow-artifacts:/32/17d0605c23074ba59ff78fab89cb51bc/artifacts</t>
  </si>
  <si>
    <t>2026-05-18 19:44:12.013000+00:00</t>
  </si>
  <si>
    <t>2026-05-18 19:44:16.521000+00:00</t>
  </si>
  <si>
    <t>run.py --task_name classification --is_training 1 --root_path ./dataset/SelfRegulationSCP2/ --model_id SelfRegulationSCP2 --model PatchTST --data UEA --e_layers 3 --batch_size 32 --d_model 128 --d_ff 256 --top_k 3 --des Exp --itr 1 --learning_rate 0.001 --train_epochs 1000 --patience 10 --seed 1234 --id 169b13dbf3131b996d8236983c396982f8795ea314dda4934ea6c65f0a2e3bac</t>
  </si>
  <si>
    <t>169b13dbf3131b996d8236983c396982f8795ea314dda4934ea6c65f0a2e3bac</t>
  </si>
  <si>
    <t>Namespace(task_name='classification', is_training=1, model_id='SelfRegulationSCP2', model='PatchTST',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id='169b13dbf3131b996d8236983c396982f8795ea314dda4934ea6c65f0a2e3bac', device=device(type='cuda', index=0), num_class=2)</t>
  </si>
  <si>
    <t>classification_SelfRegulationSCP2_PatchTST_UEA_ftM_sl1152_ll48_pl0_dm128_nh8_el3_dl1_df256_expand2_dc4_fc1_ebtimeF_dtTrue_Exp_0169b13dbf3131b996d8236983c396982f8795ea314dda4934ea6c65f0a2e3bac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</si>
  <si>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'4e0b0720e2bc4f2785addbd6c15614f2',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'1779133413663192764', 'TRAIN_END': '1779133450456226976', 'TEST_START': '1779133450456289601', 'TEST_END': '1779133451962665216'}</t>
  </si>
  <si>
    <t>0e15e569d02c47469d2dd11e97f859b4</t>
  </si>
  <si>
    <t>mlflow-artifacts:/32/0e15e569d02c47469d2dd11e97f859b4/artifacts</t>
  </si>
  <si>
    <t>2026-05-18 19:43:01.901000+00:00</t>
  </si>
  <si>
    <t>2026-05-18 19:43:08.980000+00:00</t>
  </si>
  <si>
    <t>run.py --task_name classification --is_training 1 --root_path ./dataset/SelfRegulationSCP1/ --model_id SelfRegulationSCP1 --model PatchTST --data UEA --e_layers 3 --batch_size 32 --d_model 128 --d_ff 256 --top_k 3 --des Exp --itr 1 --learning_rate 0.001 --train_epochs 1000 --patience 10 --seed 1234 --id 8489b0bbbc384ea3a007bd7516680384bb98005b1dfd4123defa8460da101198</t>
  </si>
  <si>
    <t>8489b0bbbc384ea3a007bd7516680384bb98005b1dfd4123defa8460da101198</t>
  </si>
  <si>
    <t>Namespace(task_name='classification', is_training=1, model_id='SelfRegulationSCP1', model='PatchTST',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id='8489b0bbbc384ea3a007bd7516680384bb98005b1dfd4123defa8460da101198', device=device(type='cuda', index=0), num_class=2)</t>
  </si>
  <si>
    <t>classification_SelfRegulationSCP1_PatchTST_UEA_ftM_sl896_ll48_pl0_dm128_nh8_el3_dl1_df256_expand2_dc4_fc1_ebtimeF_dtTrue_Exp_08489b0bbbc384ea3a007bd7516680384bb98005b1dfd4123defa8460da101198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</si>
  <si>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'b05a0d0461564abe9950cc88f299cc04',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'1779133336778480006', 'TRAIN_END': '1779133380487972326', 'TEST_START': '1779133380488097626', 'TEST_END': '1779133381858515001'}</t>
  </si>
  <si>
    <t>222b756722e749f08a56b39b2186bc8f</t>
  </si>
  <si>
    <t>mlflow-artifacts:/32/222b756722e749f08a56b39b2186bc8f/artifacts</t>
  </si>
  <si>
    <t>2026-05-18 19:41:51.839000+00:00</t>
  </si>
  <si>
    <t>2026-05-18 19:41:58.482000+00:00</t>
  </si>
  <si>
    <t>run.py --task_name classification --is_training 1 --root_path ./dataset/JapaneseVowels/ --model_id JapaneseVowels --model PatchTST --data UEA --e_layers 3 --batch_size 32 --d_model 128 --d_ff 256 --top_k 3 --des Exp --itr 1 --learning_rate 0.001 --train_epochs 1000 --patience 10 --seed 1234 --id d94be3a0a0a04627575cb5ed43b94592717841d509b434d5aea2c34eb26aebf8</t>
  </si>
  <si>
    <t>d94be3a0a0a04627575cb5ed43b94592717841d509b434d5aea2c34eb26aebf8</t>
  </si>
  <si>
    <t>Namespace(task_name='classification', is_training=1, model_id='JapaneseVowels', model='PatchTST',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id='d94be3a0a0a04627575cb5ed43b94592717841d509b434d5aea2c34eb26aebf8', device=device(type='cuda', index=0), num_class=9)</t>
  </si>
  <si>
    <t>classification_JapaneseVowels_PatchTST_UEA_ftM_sl29_ll48_pl0_dm128_nh8_el3_dl1_df256_expand2_dc4_fc1_ebtimeF_dtTrue_Exp_0d94be3a0a0a04627575cb5ed43b94592717841d509b434d5aea2c34eb26aebf8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</si>
  <si>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'd0184ed33aaf4e558fd6ac50c52dac70',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'1779133246180905834', 'TRAIN_END': '1779133310522302686', 'TEST_START': '1779133310522367412', 'TEST_END': '1779133311781197969'}</t>
  </si>
  <si>
    <t>bd892d90e322472daeffb125e9f0094d</t>
  </si>
  <si>
    <t>mlflow-artifacts:/32/bd892d90e322472daeffb125e9f0094d/artifacts</t>
  </si>
  <si>
    <t>2026-05-18 19:40:17.082000+00:00</t>
  </si>
  <si>
    <t>2026-05-18 19:40:25.755000+00:00</t>
  </si>
  <si>
    <t>run.py --task_name classification --is_training 1 --root_path ./dataset/Heartbeat/ --model_id Heartbeat --model PatchTST --data UEA --e_layers 3 --batch_size 32 --d_model 128 --d_ff 256 --top_k 3 --des Exp --itr 1 --learning_rate 0.001 --train_epochs 1000 --patience 10 --seed 1234 --id 3c4b8c4232181f8fb19900cf831d1b05f3e4a8e658841e2c139477f69f926b86</t>
  </si>
  <si>
    <t>3c4b8c4232181f8fb19900cf831d1b05f3e4a8e658841e2c139477f69f926b86</t>
  </si>
  <si>
    <t>Namespace(task_name='classification', is_training=1, model_id='Heartbeat', model='PatchTST',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id='3c4b8c4232181f8fb19900cf831d1b05f3e4a8e658841e2c139477f69f926b86', device=device(type='cuda', index=0), num_class=2)</t>
  </si>
  <si>
    <t>classification_Heartbeat_PatchTST_UEA_ftM_sl405_ll48_pl0_dm128_nh8_el3_dl1_df256_expand2_dc4_fc1_ebtimeF_dtTrue_Exp_03c4b8c4232181f8fb19900cf831d1b05f3e4a8e658841e2c139477f69f926b86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</si>
  <si>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'9fab81ebb4274dd89909f09f70b7917d',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'1779133176812290729', 'TRAIN_END': '1779133212899514851', 'TEST_START': '1779133212899597236', 'TEST_END': '1779133217045718345'}</t>
  </si>
  <si>
    <t>2c6c4a6b0d2c43a1a4e804791fc69795</t>
  </si>
  <si>
    <t>mlflow-artifacts:/32/2c6c4a6b0d2c43a1a4e804791fc69795/artifacts</t>
  </si>
  <si>
    <t>2026-05-18 19:38:58.932000+00:00</t>
  </si>
  <si>
    <t>2026-05-18 19:39:03.887000+00:00</t>
  </si>
  <si>
    <t>run.py --task_name classification --is_training 1 --root_path ./dataset/Handwriting/ --model_id Handwriting --model PatchTST --data UEA --e_layers 3 --batch_size 32 --d_model 128 --d_ff 256 --top_k 3 --des Exp --itr 1 --learning_rate 0.001 --train_epochs 1000 --patience 10 --seed 1234 --id f2fd4a3bfa1eb68b97b98484ca43dbd03e0da99f37fd4b88adf7ccad828c7d1a</t>
  </si>
  <si>
    <t>f2fd4a3bfa1eb68b97b98484ca43dbd03e0da99f37fd4b88adf7ccad828c7d1a</t>
  </si>
  <si>
    <t>Namespace(task_name='classification', is_training=1, model_id='Handwriting', model='PatchTST',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id='f2fd4a3bfa1eb68b97b98484ca43dbd03e0da99f37fd4b88adf7ccad828c7d1a', device=device(type='cuda', index=0), num_class=26)</t>
  </si>
  <si>
    <t>classification_Handwriting_PatchTST_UEA_ftM_sl152_ll48_pl0_dm128_nh8_el3_dl1_df256_expand2_dc4_fc1_ebtimeF_dtTrue_Exp_0f2fd4a3bfa1eb68b97b98484ca43dbd03e0da99f37fd4b88adf7ccad828c7d1a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</si>
  <si>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'dfc3fd89c4ef42ceabac0275dd765585',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'1779133067915670478', 'TRAIN_END': '1779133137630096518', 'TEST_START': '1779133137630174465', 'TEST_END': '1779133138886401640'}</t>
  </si>
  <si>
    <t>d0cf8d425b17488dbf767f63a55e2019</t>
  </si>
  <si>
    <t>mlflow-artifacts:/32/d0cf8d425b17488dbf767f63a55e2019/artifacts</t>
  </si>
  <si>
    <t>2026-05-18 19:37:19.273000+00:00</t>
  </si>
  <si>
    <t>2026-05-18 19:37:26.959000+00:00</t>
  </si>
  <si>
    <t>run.py --task_name classification --is_training 1 --root_path ./dataset/PEMS-SF/ --model_id PEMS-SF --model PatchTST --data UEA --e_layers 3 --batch_size 32 --d_model 128 --d_ff 256 --top_k 3 --des Exp --itr 1 --learning_rate 0.001 --train_epochs 1000 --patience 10 --seed 123 --id d3a38a0b26697a42830d5f2e084db1de71b4175dec39b4fca9a5a2f0cdddcff9</t>
  </si>
  <si>
    <t>d3a38a0b26697a42830d5f2e084db1de71b4175dec39b4fca9a5a2f0cdddcff9</t>
  </si>
  <si>
    <t>Namespace(task_name='classification', is_training=1, model_id='PEMS-SF', model='PatchTST',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id='d3a38a0b26697a42830d5f2e084db1de71b4175dec39b4fca9a5a2f0cdddcff9', device=device(type='cuda', index=0), num_class=7)</t>
  </si>
  <si>
    <t>classification_PEMS-SF_PatchTST_UEA_ftM_sl144_ll48_pl0_dm128_nh8_el3_dl1_df256_expand2_dc4_fc1_ebtimeF_dtTrue_Exp_0d3a38a0b26697a42830d5f2e084db1de71b4175dec39b4fca9a5a2f0cdddcff9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</si>
  <si>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'd37e141887074dba87970adba187d994',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'1779132593016771464', 'TRAIN_END': '1779133005607025380', 'TEST_START': '1779133005607116249', 'TEST_END': '1779133039228490783'}</t>
  </si>
  <si>
    <t>96074a3476974387b9b6f308c3c28adb</t>
  </si>
  <si>
    <t>mlflow-artifacts:/32/96074a3476974387b9b6f308c3c28adb/artifacts</t>
  </si>
  <si>
    <t>2026-05-18 19:29:12.384000+00:00</t>
  </si>
  <si>
    <t>2026-05-18 19:29:17.929000+00:00</t>
  </si>
  <si>
    <t>run.py --task_name classification --is_training 1 --root_path ./dataset/EthanolConcentration/ --model_id EthanolConcentration --model PatchTST --data UEA --e_layers 3 --batch_size 32 --d_model 128 --d_ff 256 --top_k 3 --des Exp --itr 1 --learning_rate 0.001 --train_epochs 1000 --patience 10 --seed 1234 --id bf36f7ca9bd47035d132afd58f006f81f6f88e7da538659a3e6a12e7a39ff6bc</t>
  </si>
  <si>
    <t>bf36f7ca9bd47035d132afd58f006f81f6f88e7da538659a3e6a12e7a39ff6bc</t>
  </si>
  <si>
    <t>Namespace(task_name='classification', is_training=1, model_id='EthanolConcentration', model='PatchTST',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id='bf36f7ca9bd47035d132afd58f006f81f6f88e7da538659a3e6a12e7a39ff6bc', device=device(type='cuda', index=0), num_class=4)</t>
  </si>
  <si>
    <t>classification_EthanolConcentration_PatchTST_UEA_ftM_sl1751_ll48_pl0_dm128_nh8_el3_dl1_df256_expand2_dc4_fc1_ebtimeF_dtTrue_Exp_0bf36f7ca9bd47035d132afd58f006f81f6f88e7da538659a3e6a12e7a39ff6bc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</si>
  <si>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'819904d3252349909b159fcc53d62994',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'1779132489605475395', 'TRAIN_END': '1779132550771105293', 'TEST_START': '1779132550771162334', 'TEST_END': '1779132552338066117'}</t>
  </si>
  <si>
    <t>a2488b36513944faaefc5eb7ef92f190</t>
  </si>
  <si>
    <t>mlflow-artifacts:/32/a2488b36513944faaefc5eb7ef92f190/artifacts</t>
  </si>
  <si>
    <t>2026-05-18 19:27:40.526000+00:00</t>
  </si>
  <si>
    <t>2026-05-18 19:27:46.630000+00:00</t>
  </si>
  <si>
    <t>run.py --task_name classification --is_training 1 --root_path ./dataset/UWaveGestureLibrary/ --model_id UWaveGestureLibrary --model PatchTST --data UEA --e_layers 3 --batch_size 32 --d_model 128 --d_ff 256 --top_k 3 --des Exp --itr 1 --learning_rate 0.001 --train_epochs 1000 --patience 10 --seed 1234 --id 9900f9c6ea2e3adc4255fd0dc6a99547b7ed32a65e0941a51dbdcb17756f15ab</t>
  </si>
  <si>
    <t>9900f9c6ea2e3adc4255fd0dc6a99547b7ed32a65e0941a51dbdcb17756f15ab</t>
  </si>
  <si>
    <t>Namespace(task_name='classification', is_training=1, model_id='UWaveGestureLibrary', model='PatchTST',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id='9900f9c6ea2e3adc4255fd0dc6a99547b7ed32a65e0941a51dbdcb17756f15ab', device=device(type='cuda', index=0), num_class=8)</t>
  </si>
  <si>
    <t>classification_UWaveGestureLibrary_PatchTST_UEA_ftM_sl315_ll48_pl0_dm128_nh8_el3_dl1_df256_expand2_dc4_fc1_ebtimeF_dtTrue_Exp_09900f9c6ea2e3adc4255fd0dc6a99547b7ed32a65e0941a51dbdcb17756f15ab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</si>
  <si>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'559ed717f3804b739d019523c0fd5ea0',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'1779132435606744453', 'TRAIN_END': '1779132459347036543', 'TEST_START': '1779132459347106501', 'TEST_END': '1779132460467944166'}</t>
  </si>
  <si>
    <t>d0964eb024ec41c388220082a5e85288</t>
  </si>
  <si>
    <t>mlflow-artifacts:/32/d0964eb024ec41c388220082a5e85288/artifacts</t>
  </si>
  <si>
    <t>2026-05-18 19:26:51.067000+00:00</t>
  </si>
  <si>
    <t>2026-05-18 19:26:55.779000+00:00</t>
  </si>
  <si>
    <t>run.py --task_name classification --is_training 1 --root_path ./dataset/SpokenArabicDigits/ --model_id SpokenArabicDigits --model PatchTST --data UEA --e_layers 3 --batch_size 32 --d_model 128 --d_ff 256 --top_k 3 --des Exp --itr 1 --learning_rate 0.001 --train_epochs 1000 --patience 10 --seed 123 --id 8d1235ed87eb934c642475d545f94d72f507fd080f930f5da40031bbf6cfb88c</t>
  </si>
  <si>
    <t>8d1235ed87eb934c642475d545f94d72f507fd080f930f5da40031bbf6cfb88c</t>
  </si>
  <si>
    <t>Namespace(task_name='classification', is_training=1, model_id='SpokenArabicDigits', model='PatchTST',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id='8d1235ed87eb934c642475d545f94d72f507fd080f930f5da40031bbf6cfb88c', device=device(type='cuda', index=0), num_class=10)</t>
  </si>
  <si>
    <t>classification_SpokenArabicDigits_PatchTST_UEA_ftM_sl93_ll48_pl0_dm128_nh8_el3_dl1_df256_expand2_dc4_fc1_ebtimeF_dtTrue_Exp_08d1235ed87eb934c642475d545f94d72f507fd080f930f5da40031bbf6cfb88c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</si>
  <si>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'9f56d9a7f6094a6f89af5dc832d22e1a',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'1779132315669238526', 'TRAIN_END': '1779132405025398126', 'TEST_START': '1779132405025478557', 'TEST_END': '1779132411032112223'}</t>
  </si>
  <si>
    <t>1b72837d0474479c829280e8382c3b09</t>
  </si>
  <si>
    <t>mlflow-artifacts:/32/1b72837d0474479c829280e8382c3b09/artifacts</t>
  </si>
  <si>
    <t>2026-05-18 19:26:02.491000+00:00</t>
  </si>
  <si>
    <t>2026-05-18 19:26:09.983000+00:00</t>
  </si>
  <si>
    <t>run.py --task_name classification --is_training 1 --root_path ./dataset/FaceDetection/ --model_id FaceDetection --model PatchTST --data UEA --e_layers 3 --batch_size 32 --d_model 128 --d_ff 256 --top_k 3 --des Exp --itr 1 --learning_rate 0.001 --train_epochs 1000 --patience 10 --seed 123 --id de14a6b7cdd9e1856297cc6ef8ca7666d21a12b7111a32fbfb4c1918bc50b40c</t>
  </si>
  <si>
    <t>de14a6b7cdd9e1856297cc6ef8ca7666d21a12b7111a32fbfb4c1918bc50b40c</t>
  </si>
  <si>
    <t>Namespace(task_name='classification', is_training=1, model_id='FaceDetection', model='PatchTST',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id='de14a6b7cdd9e1856297cc6ef8ca7666d21a12b7111a32fbfb4c1918bc50b40c', device=device(type='cuda', index=0), num_class=2)</t>
  </si>
  <si>
    <t>classification_FaceDetection_PatchTST_UEA_ftM_sl62_ll48_pl0_dm128_nh8_el3_dl1_df256_expand2_dc4_fc1_ebtimeF_dtTrue_Exp_0de14a6b7cdd9e1856297cc6ef8ca7666d21a12b7111a32fbfb4c1918bc50b40c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</si>
  <si>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'8865435fe47e428cbebaf9ec59feab31',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'1779131810911951790', 'TRAIN_END': '1779132281545387220', 'TEST_START': '1779132281545439525', 'TEST_END': '1779132362448178367'}</t>
  </si>
  <si>
    <t>8291e36fef784a4795373595f5172de3</t>
  </si>
  <si>
    <t>mlflow-artifacts:/32/8291e36fef784a4795373595f5172de3/artifacts</t>
  </si>
  <si>
    <t>2026-05-18 19:24:33.372000+00:00</t>
  </si>
  <si>
    <t>2026-05-18 19:24:36.387000+00:00</t>
  </si>
  <si>
    <t>run.py --task_name classification --is_training 1 --root_path ./dataset/SelfRegulationSCP2/ --model_id SelfRegulationSCP2 --model PatchTST --data UEA --e_layers 3 --batch_size 32 --d_model 128 --d_ff 256 --top_k 3 --des Exp --itr 1 --learning_rate 0.001 --train_epochs 1000 --patience 10 --seed 123 --id 9cb9a9da6cf660092590bfa9c54d357971880ed66607431ca7a81459119569fb</t>
  </si>
  <si>
    <t>9cb9a9da6cf660092590bfa9c54d357971880ed66607431ca7a81459119569fb</t>
  </si>
  <si>
    <t>Namespace(task_name='classification', is_training=1, model_id='SelfRegulationSCP2', model='PatchTST',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id='9cb9a9da6cf660092590bfa9c54d357971880ed66607431ca7a81459119569fb', device=device(type='cuda', index=0), num_class=2)</t>
  </si>
  <si>
    <t>classification_SelfRegulationSCP2_PatchTST_UEA_ftM_sl1152_ll48_pl0_dm128_nh8_el3_dl1_df256_expand2_dc4_fc1_ebtimeF_dtTrue_Exp_09cb9a9da6cf660092590bfa9c54d357971880ed66607431ca7a81459119569fb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</si>
  <si>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'c4d6738b13724379993c8b35a885b7a9',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'1779132221434678709', 'TRAIN_END': '1779132271856508727', 'TEST_START': '1779132271856569048', 'TEST_END': '1779132273340996804'}</t>
  </si>
  <si>
    <t>f0bde3ac31e2440690415b51a14e8e87</t>
  </si>
  <si>
    <t>mlflow-artifacts:/32/f0bde3ac31e2440690415b51a14e8e87/artifacts</t>
  </si>
  <si>
    <t>2026-05-18 19:22:44.774000+00:00</t>
  </si>
  <si>
    <t>2026-05-18 19:22:50.365000+00:00</t>
  </si>
  <si>
    <t>run.py --task_name classification --is_training 1 --root_path ./dataset/SelfRegulationSCP1/ --model_id SelfRegulationSCP1 --model PatchTST --data UEA --e_layers 3 --batch_size 32 --d_model 128 --d_ff 256 --top_k 3 --des Exp --itr 1 --learning_rate 0.001 --train_epochs 1000 --patience 10 --seed 123 --id 1f69dafaf780097e42e5ce58e0f85b4cf707e2e83a3e465a0b2ecdce517d48ac</t>
  </si>
  <si>
    <t>1f69dafaf780097e42e5ce58e0f85b4cf707e2e83a3e465a0b2ecdce517d48ac</t>
  </si>
  <si>
    <t>Namespace(task_name='classification', is_training=1, model_id='SelfRegulationSCP1', model='PatchTST',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id='1f69dafaf780097e42e5ce58e0f85b4cf707e2e83a3e465a0b2ecdce517d48ac', device=device(type='cuda', index=0), num_class=2)</t>
  </si>
  <si>
    <t>classification_SelfRegulationSCP1_PatchTST_UEA_ftM_sl896_ll48_pl0_dm128_nh8_el3_dl1_df256_expand2_dc4_fc1_ebtimeF_dtTrue_Exp_01f69dafaf780097e42e5ce58e0f85b4cf707e2e83a3e465a0b2ecdce517d48ac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</si>
  <si>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'a090716f704c4b639b36a663d92a2fca',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'1779132123465993753', 'TRAIN_END': '1779132163154673410', 'TEST_START': '1779132163154747320', 'TEST_END': '1779132164447002018'}</t>
  </si>
  <si>
    <t>a03a7c680d4c492484a342a5bdb16b39</t>
  </si>
  <si>
    <t>mlflow-artifacts:/32/a03a7c680d4c492484a342a5bdb16b39/artifacts</t>
  </si>
  <si>
    <t>2026-05-18 19:21:38.450000+00:00</t>
  </si>
  <si>
    <t>2026-05-18 19:21:42.238000+00:00</t>
  </si>
  <si>
    <t>run.py --task_name classification --is_training 1 --root_path ./dataset/JapaneseVowels/ --model_id JapaneseVowels --model PatchTST --data UEA --e_layers 3 --batch_size 32 --d_model 128 --d_ff 256 --top_k 3 --des Exp --itr 1 --learning_rate 0.001 --train_epochs 1000 --patience 10 --seed 123 --id d980270fa8b78dccd71b465582f82c0a5a60fdc009d51115d6a93c7737eb9979</t>
  </si>
  <si>
    <t>d980270fa8b78dccd71b465582f82c0a5a60fdc009d51115d6a93c7737eb9979</t>
  </si>
  <si>
    <t>Namespace(task_name='classification', is_training=1, model_id='JapaneseVowels', model='PatchTST',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id='d980270fa8b78dccd71b465582f82c0a5a60fdc009d51115d6a93c7737eb9979', device=device(type='cuda', index=0), num_class=9)</t>
  </si>
  <si>
    <t>classification_JapaneseVowels_PatchTST_UEA_ftM_sl29_ll48_pl0_dm128_nh8_el3_dl1_df256_expand2_dc4_fc1_ebtimeF_dtTrue_Exp_0d980270fa8b78dccd71b465582f82c0a5a60fdc009d51115d6a93c7737eb9979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</si>
  <si>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'da8fd1620c5a476ba98edb2e7dfb8c50',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'1779132039878195527', 'TRAIN_END': '1779132097329452005', 'TEST_START': '1779132097329549010', 'TEST_END': '1779132098401218718'}</t>
  </si>
  <si>
    <t>33d2ae2cfa3a446e99846efebefe8896</t>
  </si>
  <si>
    <t>mlflow-artifacts:/32/33d2ae2cfa3a446e99846efebefe8896/artifacts</t>
  </si>
  <si>
    <t>2026-05-18 19:20:16.930000+00:00</t>
  </si>
  <si>
    <t>2026-05-18 19:20:22.644000+00:00</t>
  </si>
  <si>
    <t>run.py --task_name classification --is_training 1 --root_path ./dataset/Heartbeat/ --model_id Heartbeat --model PatchTST --data UEA --e_layers 3 --batch_size 32 --d_model 128 --d_ff 256 --top_k 3 --des Exp --itr 1 --learning_rate 0.001 --train_epochs 1000 --patience 10 --seed 123 --id 2c557dca4100b9a1fe9cfc178d2069013d1d65f7bc9fd6a0329d0b5663da3bf1</t>
  </si>
  <si>
    <t>2c557dca4100b9a1fe9cfc178d2069013d1d65f7bc9fd6a0329d0b5663da3bf1</t>
  </si>
  <si>
    <t>Namespace(task_name='classification', is_training=1, model_id='Heartbeat', model='PatchTST',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id='2c557dca4100b9a1fe9cfc178d2069013d1d65f7bc9fd6a0329d0b5663da3bf1', device=device(type='cuda', index=0), num_class=2)</t>
  </si>
  <si>
    <t>classification_Heartbeat_PatchTST_UEA_ftM_sl405_ll48_pl0_dm128_nh8_el3_dl1_df256_expand2_dc4_fc1_ebtimeF_dtTrue_Exp_02c557dca4100b9a1fe9cfc178d2069013d1d65f7bc9fd6a0329d0b5663da3bf1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</si>
  <si>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'e8ad8150923f45b6945dc8801ef21453',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'1779131965948391628', 'TRAIN_END': '1779132012904774363', 'TEST_START': '1779132012904856439', 'TEST_END': '1779132016874269732'}</t>
  </si>
  <si>
    <t>505359a8618047ccb140c12e54bdbdc8</t>
  </si>
  <si>
    <t>mlflow-artifacts:/32/505359a8618047ccb140c12e54bdbdc8/artifacts</t>
  </si>
  <si>
    <t>2026-05-18 19:18:43.343000+00:00</t>
  </si>
  <si>
    <t>2026-05-18 19:18:50.628000+00:00</t>
  </si>
  <si>
    <t>run.py --task_name classification --is_training 1 --root_path ./dataset/Handwriting/ --model_id Handwriting --model PatchTST --data UEA --e_layers 3 --batch_size 32 --d_model 128 --d_ff 256 --top_k 3 --des Exp --itr 1 --learning_rate 0.001 --train_epochs 1000 --patience 10 --seed 123 --id 083e69435de6dc17cbb2c420173efaff73d9e746d490274dbeb064d5911f284c</t>
  </si>
  <si>
    <t>083e69435de6dc17cbb2c420173efaff73d9e746d490274dbeb064d5911f284c</t>
  </si>
  <si>
    <t>Namespace(task_name='classification', is_training=1, model_id='Handwriting', model='PatchTST',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id='083e69435de6dc17cbb2c420173efaff73d9e746d490274dbeb064d5911f284c', device=device(type='cuda', index=0), num_class=26)</t>
  </si>
  <si>
    <t>classification_Handwriting_PatchTST_UEA_ftM_sl152_ll48_pl0_dm128_nh8_el3_dl1_df256_expand2_dc4_fc1_ebtimeF_dtTrue_Exp_0083e69435de6dc17cbb2c420173efaff73d9e746d490274dbeb064d5911f284c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</si>
  <si>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'b1ef04d906c143c490d85eb0c4628058',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'1779131834109225179', 'TRAIN_END': '1779131922001317613', 'TEST_START': '1779131922001403348', 'TEST_END': '1779131923294886789'}</t>
  </si>
  <si>
    <t>53a681301aa54a7db06dd0e6dd537209</t>
  </si>
  <si>
    <t>mlflow-artifacts:/32/53a681301aa54a7db06dd0e6dd537209/artifacts</t>
  </si>
  <si>
    <t>2026-05-18 19:16:52.419000+00:00</t>
  </si>
  <si>
    <t>2026-05-18 19:16:57.736000+00:00</t>
  </si>
  <si>
    <t>run.py --task_name classification --is_training 1 --root_path ./dataset/PEMS-SF/ --model_id PEMS-SF --model PatchTST --data UEA --e_layers 3 --batch_size 32 --d_model 128 --d_ff 256 --top_k 3 --des Exp --itr 1 --learning_rate 0.001 --train_epochs 1000 --patience 10 --seed 42 --id 21c711ed8cef64c28a1604121162901a1f8d3f5561f0d1c61fe061c2e39dfeaf</t>
  </si>
  <si>
    <t>21c711ed8cef64c28a1604121162901a1f8d3f5561f0d1c61fe061c2e39dfeaf</t>
  </si>
  <si>
    <t>Namespace(task_name='classification', is_training=1, model_id='PEMS-SF', model='PatchTST',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id='21c711ed8cef64c28a1604121162901a1f8d3f5561f0d1c61fe061c2e39dfeaf', device=device(type='cuda', index=0), num_class=7)</t>
  </si>
  <si>
    <t>classification_PEMS-SF_PatchTST_UEA_ftM_sl144_ll48_pl0_dm128_nh8_el3_dl1_df256_expand2_dc4_fc1_ebtimeF_dtTrue_Exp_021c711ed8cef64c28a1604121162901a1f8d3f5561f0d1c61fe061c2e39dfeaf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</si>
  <si>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'4c219ad1556241928b615df48e12154f',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'1779131456171946216', 'TRAIN_END': '1779131778914543495', 'TEST_START': '1779131778914702447', 'TEST_END': '1779131812366184869'}</t>
  </si>
  <si>
    <t>626a726d7f4940118fe1a4966375c060</t>
  </si>
  <si>
    <t>mlflow-artifacts:/32/626a726d7f4940118fe1a4966375c060/artifacts</t>
  </si>
  <si>
    <t>2026-05-18 19:10:53.472000+00:00</t>
  </si>
  <si>
    <t>2026-05-18 19:10:59.628000+00:00</t>
  </si>
  <si>
    <t>run.py --task_name classification --is_training 1 --root_path ./dataset/EthanolConcentration/ --model_id EthanolConcentration --model PatchTST --data UEA --e_layers 3 --batch_size 32 --d_model 128 --d_ff 256 --top_k 3 --des Exp --itr 1 --learning_rate 0.001 --train_epochs 1000 --patience 10 --seed 123 --id a1efcc385fb64de0f11763c6169a26aacd16d9e4e60c407ed5075f7340a3b45a</t>
  </si>
  <si>
    <t>a1efcc385fb64de0f11763c6169a26aacd16d9e4e60c407ed5075f7340a3b45a</t>
  </si>
  <si>
    <t>Namespace(task_name='classification', is_training=1, model_id='EthanolConcentration', model='PatchTST',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id='a1efcc385fb64de0f11763c6169a26aacd16d9e4e60c407ed5075f7340a3b45a', device=device(type='cuda', index=0), num_class=4)</t>
  </si>
  <si>
    <t>classification_EthanolConcentration_PatchTST_UEA_ftM_sl1751_ll48_pl0_dm128_nh8_el3_dl1_df256_expand2_dc4_fc1_ebtimeF_dtTrue_Exp_0a1efcc385fb64de0f11763c6169a26aacd16d9e4e60c407ed5075f7340a3b45a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</si>
  <si>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'f1ab411e276e41e79adf04a8d3dc8044',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'1779131376151583254', 'TRAIN_END': '1779131451350836004', 'TEST_START': '1779131451350885242', 'TEST_END': '1779131453440459706'}</t>
  </si>
  <si>
    <t>eb94a27fa32c4a3da91d5af90dfc3b42</t>
  </si>
  <si>
    <t>mlflow-artifacts:/32/eb94a27fa32c4a3da91d5af90dfc3b42/artifacts</t>
  </si>
  <si>
    <t>2026-05-18 19:09:11.214000+00:00</t>
  </si>
  <si>
    <t>2026-05-18 19:09:16.972000+00:00</t>
  </si>
  <si>
    <t>run.py --task_name classification --is_training 1 --root_path ./dataset/UWaveGestureLibrary/ --model_id UWaveGestureLibrary --model PatchTST --data UEA --e_layers 3 --batch_size 32 --d_model 128 --d_ff 256 --top_k 3 --des Exp --itr 1 --learning_rate 0.001 --train_epochs 1000 --patience 10 --seed 123 --id 72a2a60ab7308e24f60df87add6bb93c231892ffe227b284a0f2e79ff4b586e7</t>
  </si>
  <si>
    <t>72a2a60ab7308e24f60df87add6bb93c231892ffe227b284a0f2e79ff4b586e7</t>
  </si>
  <si>
    <t>Namespace(task_name='classification', is_training=1, model_id='UWaveGestureLibrary', model='PatchTST',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id='72a2a60ab7308e24f60df87add6bb93c231892ffe227b284a0f2e79ff4b586e7', device=device(type='cuda', index=0), num_class=8)</t>
  </si>
  <si>
    <t>classification_UWaveGestureLibrary_PatchTST_UEA_ftM_sl315_ll48_pl0_dm128_nh8_el3_dl1_df256_expand2_dc4_fc1_ebtimeF_dtTrue_Exp_072a2a60ab7308e24f60df87add6bb93c231892ffe227b284a0f2e79ff4b586e7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</si>
  <si>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'd4ecacdc51854264ae1a7c06586dacb6',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'1779131321481324872', 'TRAIN_END': '1779131350156939782', 'TEST_START': '1779131350157003850', 'TEST_END': '1779131351162713383'}</t>
  </si>
  <si>
    <t>3400bcbf5ae34f3da08b47ced50ef36d</t>
  </si>
  <si>
    <t>mlflow-artifacts:/32/3400bcbf5ae34f3da08b47ced50ef36d/artifacts</t>
  </si>
  <si>
    <t>2026-05-18 19:08:16.326000+00:00</t>
  </si>
  <si>
    <t>2026-05-18 19:08:22.571000+00:00</t>
  </si>
  <si>
    <t>run.py --task_name classification --is_training 1 --root_path ./dataset/FaceDetection/ --model_id FaceDetection --model PatchTST --data UEA --e_layers 3 --batch_size 32 --d_model 128 --d_ff 256 --top_k 3 --des Exp --itr 1 --learning_rate 0.001 --train_epochs 1000 --patience 10 --seed 42 --id 7b56f11553077a1ba1c5c248070dd67f2cc18546f9e40d41c0b030bc01d87728</t>
  </si>
  <si>
    <t>7b56f11553077a1ba1c5c248070dd67f2cc18546f9e40d41c0b030bc01d87728</t>
  </si>
  <si>
    <t>Namespace(task_name='classification', is_training=1, model_id='FaceDetection', model='PatchTST',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id='7b56f11553077a1ba1c5c248070dd67f2cc18546f9e40d41c0b030bc01d87728', device=device(type='cuda', index=0), num_class=2)</t>
  </si>
  <si>
    <t>classification_FaceDetection_PatchTST_UEA_ftM_sl62_ll48_pl0_dm128_nh8_el3_dl1_df256_expand2_dc4_fc1_ebtimeF_dtTrue_Exp_07b56f11553077a1ba1c5c248070dd67f2cc18546f9e40d41c0b030bc01d87728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</si>
  <si>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'1ec7b13cc5484f9d9ff059edd7a409b3',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'1779130741441041938', 'TRAIN_END': '1779131215369152678', 'TEST_START': '1779131215370860524', 'TEST_END': '1779131296272607102'}</t>
  </si>
  <si>
    <t>6a916d3f10864c58b6f3c266cd32e59a</t>
  </si>
  <si>
    <t>mlflow-artifacts:/32/6a916d3f10864c58b6f3c266cd32e59a/artifacts</t>
  </si>
  <si>
    <t>2026-05-18 19:06:54.623000+00:00</t>
  </si>
  <si>
    <t>2026-05-18 19:07:01.379000+00:00</t>
  </si>
  <si>
    <t>run.py --task_name classification --is_training 1 --root_path ./dataset/SpokenArabicDigits/ --model_id SpokenArabicDigits --model PatchTST --data UEA --e_layers 3 --batch_size 32 --d_model 128 --d_ff 256 --top_k 3 --des Exp --itr 1 --learning_rate 0.001 --train_epochs 1000 --patience 10 --seed 42 --id 85fdd38def99beb8b8f0c911e416492917f348930917594bfaa985bd147e8c06</t>
  </si>
  <si>
    <t>85fdd38def99beb8b8f0c911e416492917f348930917594bfaa985bd147e8c06</t>
  </si>
  <si>
    <t>Namespace(task_name='classification', is_training=1, model_id='SpokenArabicDigits', model='PatchTST',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id='85fdd38def99beb8b8f0c911e416492917f348930917594bfaa985bd147e8c06', device=device(type='cuda', index=0), num_class=10)</t>
  </si>
  <si>
    <t>classification_SpokenArabicDigits_PatchTST_UEA_ftM_sl93_ll48_pl0_dm128_nh8_el3_dl1_df256_expand2_dc4_fc1_ebtimeF_dtTrue_Exp_085fdd38def99beb8b8f0c911e416492917f348930917594bfaa985bd147e8c06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</si>
  <si>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'c8208c5a948e4c52958ee92697777f4a',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'1779131105397226344', 'TRAIN_END': '1779131208243655540', 'TEST_START': '1779131208245646212', 'TEST_END': '1779131214567852942'}</t>
  </si>
  <si>
    <t>8bffabd5675e4c199707bda8b8a09384</t>
  </si>
  <si>
    <t>mlflow-artifacts:/32/8bffabd5675e4c199707bda8b8a09384/artifacts</t>
  </si>
  <si>
    <t>2026-05-18 19:02:03.216000+00:00</t>
  </si>
  <si>
    <t>2026-05-18 19:02:08.704000+00:00</t>
  </si>
  <si>
    <t>run.py --task_name classification --is_training 1 --root_path ./dataset/SelfRegulationSCP2/ --model_id SelfRegulationSCP2 --model PatchTST --data UEA --e_layers 3 --batch_size 32 --d_model 128 --d_ff 256 --top_k 3 --des Exp --itr 1 --learning_rate 0.001 --train_epochs 1000 --patience 10 --seed 42 --id f428ac20284fbccc4395839cb0eb05e4030974ba59cb5470016dbc997f55b9b0</t>
  </si>
  <si>
    <t>f428ac20284fbccc4395839cb0eb05e4030974ba59cb5470016dbc997f55b9b0</t>
  </si>
  <si>
    <t>Namespace(task_name='classification', is_training=1, model_id='SelfRegulationSCP2', model='PatchTST',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id='f428ac20284fbccc4395839cb0eb05e4030974ba59cb5470016dbc997f55b9b0', device=device(type='cuda', index=0), num_class=2)</t>
  </si>
  <si>
    <t>classification_SelfRegulationSCP2_PatchTST_UEA_ftM_sl1152_ll48_pl0_dm128_nh8_el3_dl1_df256_expand2_dc4_fc1_ebtimeF_dtTrue_Exp_0f428ac20284fbccc4395839cb0eb05e4030974ba59cb5470016dbc997f55b9b0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</si>
  <si>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'fc7945222acd4eae8e9106ca90e2ce65',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'1779130866582621779', 'TRAIN_END': '1779130921657195785', 'TEST_START': '1779130921657270250', 'TEST_END': '1779130923165834063'}</t>
  </si>
  <si>
    <t>88015c7392ed4dd7a02757fabd0421cd</t>
  </si>
  <si>
    <t>mlflow-artifacts:/32/88015c7392ed4dd7a02757fabd0421cd/artifacts</t>
  </si>
  <si>
    <t>2026-05-18 19:00:36.071000+00:00</t>
  </si>
  <si>
    <t>2026-05-18 19:00:42.752000+00:00</t>
  </si>
  <si>
    <t>run.py --task_name classification --is_training 1 --root_path ./dataset/SelfRegulationSCP1/ --model_id SelfRegulationSCP1 --model PatchTST --data UEA --e_layers 3 --batch_size 32 --d_model 128 --d_ff 256 --top_k 3 --des Exp --itr 1 --learning_rate 0.001 --train_epochs 1000 --patience 10 --seed 42 --id 50715d225a5737c8d88157738e90c5cb811647a6e081921144e976ecbe9a4409</t>
  </si>
  <si>
    <t>50715d225a5737c8d88157738e90c5cb811647a6e081921144e976ecbe9a4409</t>
  </si>
  <si>
    <t>Namespace(task_name='classification', is_training=1, model_id='SelfRegulationSCP1', model='PatchTST',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id='50715d225a5737c8d88157738e90c5cb811647a6e081921144e976ecbe9a4409', device=device(type='cuda', index=0), num_class=2)</t>
  </si>
  <si>
    <t>classification_SelfRegulationSCP1_PatchTST_UEA_ftM_sl896_ll48_pl0_dm128_nh8_el3_dl1_df256_expand2_dc4_fc1_ebtimeF_dtTrue_Exp_050715d225a5737c8d88157738e90c5cb811647a6e081921144e976ecbe9a4409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</si>
  <si>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'4d8c1d6c38214df5bb9b7f2726720279',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'1779130816253713439', 'TRAIN_END': '1779130834741464001', 'TEST_START': '1779130834741540556', 'TEST_END': '1779130836031304944'}</t>
  </si>
  <si>
    <t>0fc9f50557e245438b02c5ff6b5d3c75</t>
  </si>
  <si>
    <t>mlflow-artifacts:/32/0fc9f50557e245438b02c5ff6b5d3c75/artifacts</t>
  </si>
  <si>
    <t>2026-05-18 18:59:47.330000+00:00</t>
  </si>
  <si>
    <t>2026-05-18 18:59:55.008000+00:00</t>
  </si>
  <si>
    <t>run.py --task_name classification --is_training 1 --root_path ./dataset/JapaneseVowels/ --model_id JapaneseVowels --model PatchTST --data UEA --e_layers 3 --batch_size 32 --d_model 128 --d_ff 256 --top_k 3 --des Exp --itr 1 --learning_rate 0.001 --train_epochs 1000 --patience 10 --seed 42 --id 63e3c7839e2324240add606b94201812ec04bedb196500ec697cbe03c5a9e23c</t>
  </si>
  <si>
    <t>63e3c7839e2324240add606b94201812ec04bedb196500ec697cbe03c5a9e23c</t>
  </si>
  <si>
    <t>Namespace(task_name='classification', is_training=1, model_id='JapaneseVowels', model='PatchTST',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id='63e3c7839e2324240add606b94201812ec04bedb196500ec697cbe03c5a9e23c', device=device(type='cuda', index=0), num_class=9)</t>
  </si>
  <si>
    <t>classification_JapaneseVowels_PatchTST_UEA_ftM_sl29_ll48_pl0_dm128_nh8_el3_dl1_df256_expand2_dc4_fc1_ebtimeF_dtTrue_Exp_063e3c7839e2324240add606b94201812ec04bedb196500ec697cbe03c5a9e23c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</si>
  <si>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'4467ac562a854f988d6f702da8836ff8',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'1779130756992037135', 'TRAIN_END': '1779130786208825007', 'TEST_START': '1779130786208898077', 'TEST_END': '1779130787289227655'}</t>
  </si>
  <si>
    <t>a77c45fd7a304400b06efd6c62369845</t>
  </si>
  <si>
    <t>mlflow-artifacts:/32/a77c45fd7a304400b06efd6c62369845/artifacts</t>
  </si>
  <si>
    <t>2026-05-18 18:58:52.230000+00:00</t>
  </si>
  <si>
    <t>2026-05-18 18:58:58.811000+00:00</t>
  </si>
  <si>
    <t>run.py --task_name classification --is_training 1 --root_path ./dataset/Heartbeat/ --model_id Heartbeat --model PatchTST --data UEA --e_layers 3 --batch_size 32 --d_model 128 --d_ff 256 --top_k 3 --des Exp --itr 1 --learning_rate 0.001 --train_epochs 1000 --patience 10 --seed 42 --id c77ec1649ecde0ee9656e63c8fd09bf80382e40445c0db3a26021958ffb34a3b</t>
  </si>
  <si>
    <t>c77ec1649ecde0ee9656e63c8fd09bf80382e40445c0db3a26021958ffb34a3b</t>
  </si>
  <si>
    <t>Namespace(task_name='classification', is_training=1, model_id='Heartbeat', model='PatchTST',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id='c77ec1649ecde0ee9656e63c8fd09bf80382e40445c0db3a26021958ffb34a3b', device=device(type='cuda', index=0), num_class=2)</t>
  </si>
  <si>
    <t>classification_Heartbeat_PatchTST_UEA_ftM_sl405_ll48_pl0_dm128_nh8_el3_dl1_df256_expand2_dc4_fc1_ebtimeF_dtTrue_Exp_0c77ec1649ecde0ee9656e63c8fd09bf80382e40445c0db3a26021958ffb34a3b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</si>
  <si>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'0077ec7f7b3448ab876910c1f505f659',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'1779130677559780761', 'TRAIN_END': '1779130728268072436', 'TEST_START': '1779130728268131729', 'TEST_END': '1779130732185512847'}</t>
  </si>
  <si>
    <t>85393cd79ca74949922717829ccce708</t>
  </si>
  <si>
    <t>mlflow-artifacts:/32/85393cd79ca74949922717829ccce708/artifacts</t>
  </si>
  <si>
    <t>2026-05-18 18:57:16.211000+00:00</t>
  </si>
  <si>
    <t>2026-05-18 18:57:22.129000+00:00</t>
  </si>
  <si>
    <t>run.py --task_name classification --is_training 1 --root_path ./dataset/Handwriting/ --model_id Handwriting --model PatchTST --data UEA --e_layers 3 --batch_size 32 --d_model 128 --d_ff 256 --top_k 3 --des Exp --itr 1 --learning_rate 0.001 --train_epochs 1000 --patience 10 --seed 42 --id 861a6c8194d67cb5e08264eaf42a3cdf62a4ae92f5a1a20a0fe05d7021177bde</t>
  </si>
  <si>
    <t>861a6c8194d67cb5e08264eaf42a3cdf62a4ae92f5a1a20a0fe05d7021177bde</t>
  </si>
  <si>
    <t>Namespace(task_name='classification', is_training=1, model_id='Handwriting', model='PatchTST',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id='861a6c8194d67cb5e08264eaf42a3cdf62a4ae92f5a1a20a0fe05d7021177bde', device=device(type='cuda', index=0), num_class=26)</t>
  </si>
  <si>
    <t>classification_Handwriting_PatchTST_UEA_ftM_sl152_ll48_pl0_dm128_nh8_el3_dl1_df256_expand2_dc4_fc1_ebtimeF_dtTrue_Exp_0861a6c8194d67cb5e08264eaf42a3cdf62a4ae92f5a1a20a0fe05d7021177bde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</si>
  <si>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'4f6a50415db94a949d8b9e0e23e5e402',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'1779130499751754242', 'TRAIN_END': '1779130634725941755', 'TEST_START': '1779130634726115353', 'TEST_END': '1779130636153482127'}</t>
  </si>
  <si>
    <t>d73dc167dda6473a804d30952a3538b7</t>
  </si>
  <si>
    <t>mlflow-artifacts:/32/d73dc167dda6473a804d30952a3538b7/artifacts</t>
  </si>
  <si>
    <t>2026-05-18 18:54:34.122000+00:00</t>
  </si>
  <si>
    <t>2026-05-18 18:54:40.431000+00:00</t>
  </si>
  <si>
    <t>run.py --task_name classification --is_training 1 --root_path ./dataset/PEMS-SF/ --model_id PEMS-SF --model PatchTST --data UEA --e_layers 3 --batch_size 32 --d_model 128 --d_ff 256 --top_k 3 --des Exp --itr 1 --learning_rate 0.001 --train_epochs 1000 --patience 10 --seed 7 --id d6c0d9d9d3d74843b2c1aef5aea95dbe7c38ffb66fa6e22edf233569b57d21ce</t>
  </si>
  <si>
    <t>d6c0d9d9d3d74843b2c1aef5aea95dbe7c38ffb66fa6e22edf233569b57d21ce</t>
  </si>
  <si>
    <t>Namespace(task_name='classification', is_training=1, model_id='PEMS-SF', model='PatchTST',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id='d6c0d9d9d3d74843b2c1aef5aea95dbe7c38ffb66fa6e22edf233569b57d21ce', device=device(type='cuda', index=0), num_class=7)</t>
  </si>
  <si>
    <t>classification_PEMS-SF_PatchTST_UEA_ftM_sl144_ll48_pl0_dm128_nh8_el3_dl1_df256_expand2_dc4_fc1_ebtimeF_dtTrue_Exp_0d6c0d9d9d3d74843b2c1aef5aea95dbe7c38ffb66fa6e22edf233569b57d21ce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</si>
  <si>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'd852cd00feb742d19f7ef9dd1a53ab5b',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'1779130068120844761', 'TRAIN_END': '1779130440754803787', 'TEST_START': '1779130440754877979', 'TEST_END': '1779130474082415321'}</t>
  </si>
  <si>
    <t>fcf98f71fcae4008a11c11f03b56ee26</t>
  </si>
  <si>
    <t>mlflow-artifacts:/32/fcf98f71fcae4008a11c11f03b56ee26/artifacts</t>
  </si>
  <si>
    <t>2026-05-18 18:52:57.277000+00:00</t>
  </si>
  <si>
    <t>2026-05-18 18:53:03.634000+00:00</t>
  </si>
  <si>
    <t>run.py --task_name classification --is_training 1 --root_path ./dataset/EthanolConcentration/ --model_id EthanolConcentration --model PatchTST --data UEA --e_layers 3 --batch_size 32 --d_model 128 --d_ff 256 --top_k 3 --des Exp --itr 1 --learning_rate 0.001 --train_epochs 1000 --patience 10 --seed 42 --id d4272ffa1fe863d430a18d4c6c02397f890954c02e0119851bdd6d208ea4bd17</t>
  </si>
  <si>
    <t>d4272ffa1fe863d430a18d4c6c02397f890954c02e0119851bdd6d208ea4bd17</t>
  </si>
  <si>
    <t>Namespace(task_name='classification', is_training=1, model_id='EthanolConcentration', model='PatchTST',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id='d4272ffa1fe863d430a18d4c6c02397f890954c02e0119851bdd6d208ea4bd17', device=device(type='cuda', index=0), num_class=4)</t>
  </si>
  <si>
    <t>classification_EthanolConcentration_PatchTST_UEA_ftM_sl1751_ll48_pl0_dm128_nh8_el3_dl1_df256_expand2_dc4_fc1_ebtimeF_dtTrue_Exp_0d4272ffa1fe863d430a18d4c6c02397f890954c02e0119851bdd6d208ea4bd17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</si>
  <si>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'23adeb37b73a4771ab93908739fe6727',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'1779130324111479964', 'TRAIN_END': '1779130375334634742', 'TEST_START': '1779130375334707281', 'TEST_END': '1779130377243254946'}</t>
  </si>
  <si>
    <t>afe1af4debf945a987cb03d97e3c4231</t>
  </si>
  <si>
    <t>mlflow-artifacts:/32/afe1af4debf945a987cb03d97e3c4231/artifacts</t>
  </si>
  <si>
    <t>2026-05-18 18:51:29.388000+00:00</t>
  </si>
  <si>
    <t>2026-05-18 18:51:39.547000+00:00</t>
  </si>
  <si>
    <t>run.py --task_name classification --is_training 1 --root_path ./dataset/UWaveGestureLibrary/ --model_id UWaveGestureLibrary --model PatchTST --data UEA --e_layers 3 --batch_size 32 --d_model 128 --d_ff 256 --top_k 3 --des Exp --itr 1 --learning_rate 0.001 --train_epochs 1000 --patience 10 --seed 42 --id 151e33f4c2293044fbd306f932357dca59c4deca06db5990ff9acdffd4d42c00</t>
  </si>
  <si>
    <t>151e33f4c2293044fbd306f932357dca59c4deca06db5990ff9acdffd4d42c00</t>
  </si>
  <si>
    <t>Namespace(task_name='classification', is_training=1, model_id='UWaveGestureLibrary', model='PatchTST',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id='151e33f4c2293044fbd306f932357dca59c4deca06db5990ff9acdffd4d42c00', device=device(type='cuda', index=0), num_class=8)</t>
  </si>
  <si>
    <t>classification_UWaveGestureLibrary_PatchTST_UEA_ftM_sl315_ll48_pl0_dm128_nh8_el3_dl1_df256_expand2_dc4_fc1_ebtimeF_dtTrue_Exp_0151e33f4c2293044fbd306f932357dca59c4deca06db5990ff9acdffd4d42c00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</si>
  <si>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'5049885c16e44b2eb988f38fa4d4ff3b',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'1779130252823948314', 'TRAIN_END': '1779130288299072818', 'TEST_START': '1779130288299146177', 'TEST_END': '1779130289347224400'}</t>
  </si>
  <si>
    <t>8a948b8ac4144f7ea9a41d3edfeb16e4</t>
  </si>
  <si>
    <t>mlflow-artifacts:/32/8a948b8ac4144f7ea9a41d3edfeb16e4/artifacts</t>
  </si>
  <si>
    <t>2026-05-18 18:50:22.875000+00:00</t>
  </si>
  <si>
    <t>2026-05-18 18:50:30.487000+00:00</t>
  </si>
  <si>
    <t>run.py --task_name classification --is_training 1 --root_path ./dataset/FaceDetection/ --model_id FaceDetection --model PatchTST --data UEA --e_layers 3 --batch_size 32 --d_model 128 --d_ff 256 --top_k 3 --des Exp --itr 1 --learning_rate 0.001 --train_epochs 1000 --patience 10 --seed 7 --id b03a07296167e03af1afb9fa7b452616ca3a018e3dbd9c2c10aed0537cd9b497</t>
  </si>
  <si>
    <t>b03a07296167e03af1afb9fa7b452616ca3a018e3dbd9c2c10aed0537cd9b497</t>
  </si>
  <si>
    <t>Namespace(task_name='classification', is_training=1, model_id='FaceDetection', model='PatchTST',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id='b03a07296167e03af1afb9fa7b452616ca3a018e3dbd9c2c10aed0537cd9b497', device=device(type='cuda', index=0), num_class=2)</t>
  </si>
  <si>
    <t>classification_FaceDetection_PatchTST_UEA_ftM_sl62_ll48_pl0_dm128_nh8_el3_dl1_df256_expand2_dc4_fc1_ebtimeF_dtTrue_Exp_0b03a07296167e03af1afb9fa7b452616ca3a018e3dbd9c2c10aed0537cd9b497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</si>
  <si>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'56891dc223c249f8aa91fe4dbdec4cbb',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'1779129670035758088', 'TRAIN_END': '1779130140535910718', 'TEST_START': '1779130140536037259', 'TEST_END': '1779130222840315008'}</t>
  </si>
  <si>
    <t>10e7d6635a6d4cab8cdbfb1d17a8cb0d</t>
  </si>
  <si>
    <t>mlflow-artifacts:/32/10e7d6635a6d4cab8cdbfb1d17a8cb0d/artifacts</t>
  </si>
  <si>
    <t>2026-05-18 18:44:33.970000+00:00</t>
  </si>
  <si>
    <t>2026-05-18 18:44:40.127000+00:00</t>
  </si>
  <si>
    <t>run.py --task_name classification --is_training 1 --root_path ./dataset/SpokenArabicDigits/ --model_id SpokenArabicDigits --model PatchTST --data UEA --e_layers 3 --batch_size 32 --d_model 128 --d_ff 256 --top_k 3 --des Exp --itr 1 --learning_rate 0.001 --train_epochs 1000 --patience 10 --seed 7 --id 22b2618a98d71cef55d10e64331e2ceac3f7b7fada222c5245e7f0e5c2eea8e9</t>
  </si>
  <si>
    <t>22b2618a98d71cef55d10e64331e2ceac3f7b7fada222c5245e7f0e5c2eea8e9</t>
  </si>
  <si>
    <t>Namespace(task_name='classification', is_training=1, model_id='SpokenArabicDigits', model='PatchTST',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id='22b2618a98d71cef55d10e64331e2ceac3f7b7fada222c5245e7f0e5c2eea8e9', device=device(type='cuda', index=0), num_class=10)</t>
  </si>
  <si>
    <t>classification_SpokenArabicDigits_PatchTST_UEA_ftM_sl93_ll48_pl0_dm128_nh8_el3_dl1_df256_expand2_dc4_fc1_ebtimeF_dtTrue_Exp_022b2618a98d71cef55d10e64331e2ceac3f7b7fada222c5245e7f0e5c2eea8e9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</si>
  <si>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'a3538b79f27c4fb0801d3c685078a53c',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'1779129764097841069', 'TRAIN_END': '1779129867668217745', 'TEST_START': '1779129867668287839', 'TEST_END': '1779129873932381647'}</t>
  </si>
  <si>
    <t>1150cb07e7974853992b88a867fe4f23</t>
  </si>
  <si>
    <t>mlflow-artifacts:/32/1150cb07e7974853992b88a867fe4f23/artifacts</t>
  </si>
  <si>
    <t>2026-05-18 18:41:56.576000+00:00</t>
  </si>
  <si>
    <t>2026-05-18 18:42:01.326000+00:00</t>
  </si>
  <si>
    <t>run.py --task_name classification --is_training 1 --root_path ./dataset/SelfRegulationSCP2/ --model_id SelfRegulationSCP2 --model PatchTST --data UEA --e_layers 3 --batch_size 32 --d_model 128 --d_ff 256 --top_k 3 --des Exp --itr 1 --learning_rate 0.001 --train_epochs 1000 --patience 10 --seed 7 --id 8d675d20db027faf5f026f04e0067bbbc07fd35c9855ab68a70dfd91c620dda5</t>
  </si>
  <si>
    <t>8d675d20db027faf5f026f04e0067bbbc07fd35c9855ab68a70dfd91c620dda5</t>
  </si>
  <si>
    <t>Namespace(task_name='classification', is_training=1, model_id='SelfRegulationSCP2', model='PatchTST',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id='8d675d20db027faf5f026f04e0067bbbc07fd35c9855ab68a70dfd91c620dda5', device=device(type='cuda', index=0), num_class=2)</t>
  </si>
  <si>
    <t>classification_SelfRegulationSCP2_PatchTST_UEA_ftM_sl1152_ll48_pl0_dm128_nh8_el3_dl1_df256_expand2_dc4_fc1_ebtimeF_dtTrue_Exp_08d675d20db027faf5f026f04e0067bbbc07fd35c9855ab68a70dfd91c620dda5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</si>
  <si>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'e6e4c63d24574d7d9a01f4f3b2e55e00',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'1779129670035227426', 'TRAIN_END': '1779129715169179783', 'TEST_START': '1779129715169227047', 'TEST_END': '1779129716544891151'}</t>
  </si>
  <si>
    <t>34db1f4f82d947b680b9f870a32f0d4e</t>
  </si>
  <si>
    <t>mlflow-artifacts:/32/34db1f4f82d947b680b9f870a32f0d4e/artifacts</t>
  </si>
  <si>
    <t>2026-05-18 18:40:44.693000+00:00</t>
  </si>
  <si>
    <t>2026-05-18 18:40:49.508000+00:00</t>
  </si>
  <si>
    <t>run.py --task_name classification --is_training 1 --root_path ./dataset/SelfRegulationSCP1/ --model_id SelfRegulationSCP1 --model PatchTST --data UEA --e_layers 3 --batch_size 32 --d_model 128 --d_ff 256 --top_k 3 --des Exp --itr 1 --learning_rate 0.001 --train_epochs 1000 --patience 10 --seed 7 --id 8db307414baffc158a62bef72cbfb6a761ed896ce6ecc8c151f335c786e9366c</t>
  </si>
  <si>
    <t>8db307414baffc158a62bef72cbfb6a761ed896ce6ecc8c151f335c786e9366c</t>
  </si>
  <si>
    <t>Namespace(task_name='classification', is_training=1, model_id='SelfRegulationSCP1', model='PatchTST',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id='8db307414baffc158a62bef72cbfb6a761ed896ce6ecc8c151f335c786e9366c', device=device(type='cuda', index=0), num_class=2)</t>
  </si>
  <si>
    <t>classification_SelfRegulationSCP1_PatchTST_UEA_ftM_sl896_ll48_pl0_dm128_nh8_el3_dl1_df256_expand2_dc4_fc1_ebtimeF_dtTrue_Exp_08db307414baffc158a62bef72cbfb6a761ed896ce6ecc8c151f335c786e9366c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</si>
  <si>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'c56bb1fd206a491cacb03c1dfe687000',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'1779129624790759122', 'TRAIN_END': '1779129643407733426', 'TEST_START': '1779129643407810960', 'TEST_END': '1779129644656333678'}</t>
  </si>
  <si>
    <t>59d7b6ab936646bda7adae6bc0e530e0</t>
  </si>
  <si>
    <t>mlflow-artifacts:/32/59d7b6ab936646bda7adae6bc0e530e0/artifacts</t>
  </si>
  <si>
    <t>2026-05-18 18:39:59.215000+00:00</t>
  </si>
  <si>
    <t>2026-05-18 18:40:05.130000+00:00</t>
  </si>
  <si>
    <t>run.py --task_name classification --is_training 1 --root_path ./dataset/JapaneseVowels/ --model_id JapaneseVowels --model PatchTST --data UEA --e_layers 3 --batch_size 32 --d_model 128 --d_ff 256 --top_k 3 --des Exp --itr 1 --learning_rate 0.001 --train_epochs 1000 --patience 10 --seed 7 --id 968a635469af5a08454f588539a16c1822862a750c8442c2ef3198cfbbad444a</t>
  </si>
  <si>
    <t>968a635469af5a08454f588539a16c1822862a750c8442c2ef3198cfbbad444a</t>
  </si>
  <si>
    <t>Namespace(task_name='classification', is_training=1, model_id='JapaneseVowels', model='PatchTST',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id='968a635469af5a08454f588539a16c1822862a750c8442c2ef3198cfbbad444a', device=device(type='cuda', index=0), num_class=9)</t>
  </si>
  <si>
    <t>classification_JapaneseVowels_PatchTST_UEA_ftM_sl29_ll48_pl0_dm128_nh8_el3_dl1_df256_expand2_dc4_fc1_ebtimeF_dtTrue_Exp_0968a635469af5a08454f588539a16c1822862a750c8442c2ef3198cfbbad444a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</si>
  <si>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'b2b170ab00384dcea8cd10ec0f3c3a9f',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'1779129526380247295', 'TRAIN_END': '1779129598003828998', 'TEST_START': '1779129598003903104', 'TEST_END': '1779129599171419476'}</t>
  </si>
  <si>
    <t>5a359264482b42aab676308891c9c6ca</t>
  </si>
  <si>
    <t>mlflow-artifacts:/32/5a359264482b42aab676308891c9c6ca/artifacts</t>
  </si>
  <si>
    <t>2026-05-18 18:38:17.016000+00:00</t>
  </si>
  <si>
    <t>2026-05-18 18:38:27.444000+00:00</t>
  </si>
  <si>
    <t>run.py --task_name classification --is_training 1 --root_path ./dataset/Heartbeat/ --model_id Heartbeat --model PatchTST --data UEA --e_layers 3 --batch_size 32 --d_model 128 --d_ff 256 --top_k 3 --des Exp --itr 1 --learning_rate 0.001 --train_epochs 1000 --patience 10 --seed 7 --id a41a865ca8544d1292a52b8c2244cce6d2db504633f76d9becdc6ce07d922a2b</t>
  </si>
  <si>
    <t>a41a865ca8544d1292a52b8c2244cce6d2db504633f76d9becdc6ce07d922a2b</t>
  </si>
  <si>
    <t>Namespace(task_name='classification', is_training=1, model_id='Heartbeat', model='PatchTST',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id='a41a865ca8544d1292a52b8c2244cce6d2db504633f76d9becdc6ce07d922a2b', device=device(type='cuda', index=0), num_class=2)</t>
  </si>
  <si>
    <t>classification_Heartbeat_PatchTST_UEA_ftM_sl405_ll48_pl0_dm128_nh8_el3_dl1_df256_expand2_dc4_fc1_ebtimeF_dtTrue_Exp_0a41a865ca8544d1292a52b8c2244cce6d2db504633f76d9becdc6ce07d922a2b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</si>
  <si>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'85e6ade8cdcf442f9df76ed56f501e89',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'1779129455638485455', 'TRAIN_END': '1779129493089366605', 'TEST_START': '1779129493089431873', 'TEST_END': '1779129496967616232'}</t>
  </si>
  <si>
    <t>2f2d77a18ba844f686446b358ffc51b0</t>
  </si>
  <si>
    <t>mlflow-artifacts:/32/2f2d77a18ba844f686446b358ffc51b0/artifacts</t>
  </si>
  <si>
    <t>2026-05-18 18:36:48.987000+00:00</t>
  </si>
  <si>
    <t>2026-05-18 18:36:59.317000+00:00</t>
  </si>
  <si>
    <t>run.py --task_name classification --is_training 1 --root_path ./dataset/Handwriting/ --model_id Handwriting --model PatchTST --data UEA --e_layers 3 --batch_size 32 --d_model 128 --d_ff 256 --top_k 3 --des Exp --itr 1 --learning_rate 0.001 --train_epochs 1000 --patience 10 --seed 7 --id a0b2b4ca8d00a803b58583fc5dd1bc0d1866d3b1bea619cd2a59ebc97fc2e0a3</t>
  </si>
  <si>
    <t>a0b2b4ca8d00a803b58583fc5dd1bc0d1866d3b1bea619cd2a59ebc97fc2e0a3</t>
  </si>
  <si>
    <t>Namespace(task_name='classification', is_training=1, model_id='Handwriting', model='PatchTST',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id='a0b2b4ca8d00a803b58583fc5dd1bc0d1866d3b1bea619cd2a59ebc97fc2e0a3', device=device(type='cuda', index=0), num_class=26)</t>
  </si>
  <si>
    <t>classification_Handwriting_PatchTST_UEA_ftM_sl152_ll48_pl0_dm128_nh8_el3_dl1_df256_expand2_dc4_fc1_ebtimeF_dtTrue_Exp_0a0b2b4ca8d00a803b58583fc5dd1bc0d1866d3b1bea619cd2a59ebc97fc2e0a3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</si>
  <si>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'efd0ebd7a75f4dc185e6bf5dbfe09953',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'1779129357032082802', 'TRAIN_END': '1779129407714530767', 'TEST_START': '1779129407714595054', 'TEST_END': '1779129408944135361'}</t>
  </si>
  <si>
    <t>1388656afc8c493db4b333caa6cbb7b8</t>
  </si>
  <si>
    <t>mlflow-artifacts:/32/1388656afc8c493db4b333caa6cbb7b8/artifacts</t>
  </si>
  <si>
    <t>2026-05-18 18:35:31.487000+00:00</t>
  </si>
  <si>
    <t>2026-05-18 18:35:39.531000+00:00</t>
  </si>
  <si>
    <t>run.py --task_name classification --is_training 1 --root_path ./dataset/EthanolConcentration/ --model_id EthanolConcentration --model PatchTST --data UEA --e_layers 3 --batch_size 32 --d_model 128 --d_ff 256 --top_k 3 --des Exp --itr 1 --learning_rate 0.001 --train_epochs 1000 --patience 10 --seed 7 --id 257b2db1da17ba8fe3cc1e21505a7c271a19de0b1b5b72fa52eefc1e9b6aaf20</t>
  </si>
  <si>
    <t>257b2db1da17ba8fe3cc1e21505a7c271a19de0b1b5b72fa52eefc1e9b6aaf20</t>
  </si>
  <si>
    <t>Namespace(task_name='classification', is_training=1, model_id='EthanolConcentration', model='PatchTST',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id='257b2db1da17ba8fe3cc1e21505a7c271a19de0b1b5b72fa52eefc1e9b6aaf20', device=device(type='cuda', index=0), num_class=4)</t>
  </si>
  <si>
    <t>classification_EthanolConcentration_PatchTST_UEA_ftM_sl1751_ll48_pl0_dm128_nh8_el3_dl1_df256_expand2_dc4_fc1_ebtimeF_dtTrue_Exp_0257b2db1da17ba8fe3cc1e21505a7c271a19de0b1b5b72fa52eefc1e9b6aaf20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</si>
  <si>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'04553df0124949a2a4802dee824a50c1',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'1779129272069212265', 'TRAIN_END': '1779129329968264827', 'TEST_START': '1779129329968331865', 'TEST_END': '1779129331442322734'}</t>
  </si>
  <si>
    <t>2516cfdbe1ec461d93011049ddbb09d2</t>
  </si>
  <si>
    <t>mlflow-artifacts:/32/2516cfdbe1ec461d93011049ddbb09d2/artifacts</t>
  </si>
  <si>
    <t>2026-05-18 18:35:01.788000+00:00</t>
  </si>
  <si>
    <t>2026-05-18 18:35:08.661000+00:00</t>
  </si>
  <si>
    <t>run.py --task_name classification --is_training 1 --root_path ./dataset/UWaveGestureLibrary/ --model_id UWaveGestureLibrary --model PatchTST --data UEA --e_layers 3 --batch_size 32 --d_model 128 --d_ff 256 --top_k 3 --des Exp --itr 1 --learning_rate 0.001 --train_epochs 1000 --patience 10 --seed 7 --id 95c979674f9dd878cca056e41cdda27a3e190a42ddde950de2c1660b1e7dae15</t>
  </si>
  <si>
    <t>95c979674f9dd878cca056e41cdda27a3e190a42ddde950de2c1660b1e7dae15</t>
  </si>
  <si>
    <t>Namespace(task_name='classification', is_training=1, model_id='UWaveGestureLibrary', model='PatchTST',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id='95c979674f9dd878cca056e41cdda27a3e190a42ddde950de2c1660b1e7dae15', device=device(type='cuda', index=0), num_class=8)</t>
  </si>
  <si>
    <t>classification_UWaveGestureLibrary_PatchTST_UEA_ftM_sl315_ll48_pl0_dm128_nh8_el3_dl1_df256_expand2_dc4_fc1_ebtimeF_dtTrue_Exp_095c979674f9dd878cca056e41cdda27a3e190a42ddde950de2c1660b1e7dae15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</si>
  <si>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'f5eee9f5b1de47db9ef719eac37951d1',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'1779129261906063179', 'TRAIN_END': '1779129298998569058', 'TEST_START': '1779129298998702821', 'TEST_END': '1779129301305784724'}</t>
  </si>
  <si>
    <t>9d7bbf7906504b9d9052ec8102e117c3</t>
  </si>
  <si>
    <t>mlflow-artifacts:/32/9d7bbf7906504b9d9052ec8102e117c3/artifacts</t>
  </si>
  <si>
    <t>2026-05-17 05:54:26.684000+00:00</t>
  </si>
  <si>
    <t>2026-05-17 05:54:29.825000+00:00</t>
  </si>
  <si>
    <t>run.py --task_name classification --is_training 1 --root_path ./dataset/PEMS-SF/ --model_id PEMS-SF --model TimesNet --data UEA --e_layers 3 --batch_size 32 --d_model 128 --d_ff 256 --top_k 3 --des Exp --itr 1 --learning_rate 0.001 --train_epochs 1000 --patience 10 --seed 2026 --id 4f3229c0698370daf51bacb9831e28d7155b07e39fe5332d88099522517cf51e</t>
  </si>
  <si>
    <t>4f3229c0698370daf51bacb9831e28d7155b07e39fe5332d88099522517cf51e</t>
  </si>
  <si>
    <t>Namespace(task_name='classification', is_training=1, model_id='PEMS-SF', model='TimesNet',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id='4f3229c0698370daf51bacb9831e28d7155b07e39fe5332d88099522517cf51e', device=device(type='cuda', index=0), num_class=7)</t>
  </si>
  <si>
    <t>classification_PEMS-SF_TimesNet_UEA_ftM_sl144_ll48_pl0_dm128_nh8_el3_dl1_df256_expand2_dc4_fc1_ebtimeF_dtTrue_Exp_04f3229c0698370daf51bacb9831e28d7155b07e39fe5332d88099522517cf51e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</si>
  <si>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'a352858c11144828b1a5fa02827cece7', 'MLFLOW_TRACKING_USERNAME': 'sunwu', 'MLFLOW_TRACKING_PASSWORD': 'xxxxx', 'MLFLOW_TRACKING_URI': 'http://192.168.10.61:5000', 'MLFLOW_EXPERIMENT_ID': '32', 'KMP_DUPLICATE_LIB_OK': 'True', 'KMP_INIT_AT_FORK': 'FALSE', 'TRAIN_START': '1778996632689492427', 'TORCHINDUCTOR_CACHE_DIR': '/tmp/torchinductor_root', 'TRAIN_END': '1778997238729345848', 'TEST_START': '1778997238729415332', 'TEST_END': '1778997266631793959'}</t>
  </si>
  <si>
    <t>5b7e36ae8c124127867d10aefa38695c</t>
  </si>
  <si>
    <t>mlflow-artifacts:/32/5b7e36ae8c124127867d10aefa38695c/artifacts</t>
  </si>
  <si>
    <t>2026-05-17 05:52:20.111000+00:00</t>
  </si>
  <si>
    <t>2026-05-17 05:52:23.299000+00:00</t>
  </si>
  <si>
    <t>run.py --task_name classification --is_training 1 --root_path ./dataset/SpokenArabicDigits/ --model_id SpokenArabicDigits --model TimesNet --data UEA --e_layers 3 --batch_size 32 --d_model 128 --d_ff 256 --top_k 3 --des Exp --itr 1 --learning_rate 0.001 --train_epochs 1000 --patience 10 --seed 2026 --id cbfdbbeb04292c2f67f24450436e69920bedbcc82e05e2d079e6171eda30cbcc</t>
  </si>
  <si>
    <t>cbfdbbeb04292c2f67f24450436e69920bedbcc82e05e2d079e6171eda30cbcc</t>
  </si>
  <si>
    <t>Namespace(task_name='classification', is_training=1, model_id='SpokenArabicDigits', model='TimesNet',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id='cbfdbbeb04292c2f67f24450436e69920bedbcc82e05e2d079e6171eda30cbcc', device=device(type='cuda', index=0), num_class=10)</t>
  </si>
  <si>
    <t>classification_SpokenArabicDigits_TimesNet_UEA_ftM_sl93_ll48_pl0_dm128_nh8_el3_dl1_df256_expand2_dc4_fc1_ebtimeF_dtTrue_Exp_0cbfdbbeb04292c2f67f24450436e69920bedbcc82e05e2d079e6171eda30cbcc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</si>
  <si>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'170d0d3cb6614b6a8932756a6b8e31a4', 'MLFLOW_TRACKING_USERNAME': 'sunwu', 'MLFLOW_TRACKING_PASSWORD': 'xxxxx', 'MLFLOW_TRACKING_URI': 'http://192.168.10.61:5000', 'MLFLOW_EXPERIMENT_ID': '32', 'KMP_DUPLICATE_LIB_OK': 'True', 'KMP_INIT_AT_FORK': 'FALSE', 'TRAIN_START': '1778995228579386604', 'TORCHINDUCTOR_CACHE_DIR': '/tmp/torchinductor_root', 'TRAIN_END': '1778997122793433277', 'TEST_START': '1778997122793491038', 'TEST_END': '1778997139840251271'}</t>
  </si>
  <si>
    <t>1450a1bdd4e94e1fb4f2f4ba405bec42</t>
  </si>
  <si>
    <t>mlflow-artifacts:/32/1450a1bdd4e94e1fb4f2f4ba405bec42/artifacts</t>
  </si>
  <si>
    <t>2026-05-17 05:20:32.137000+00:00</t>
  </si>
  <si>
    <t>2026-05-17 05:20:35.291000+00:00</t>
  </si>
  <si>
    <t>run.py --task_name classification --is_training 1 --root_path ./dataset/SelfRegulationSCP2/ --model_id SelfRegulationSCP2 --model TimesNet --data UEA --e_layers 3 --batch_size 32 --d_model 128 --d_ff 256 --top_k 3 --des Exp --itr 1 --learning_rate 0.001 --train_epochs 1000 --patience 10 --seed 2026 --id dfd646e34eaae0553324d409861097622bdd01a4cb5a18ccb9cd1c3b3bbd422a</t>
  </si>
  <si>
    <t>dfd646e34eaae0553324d409861097622bdd01a4cb5a18ccb9cd1c3b3bbd422a</t>
  </si>
  <si>
    <t>Namespace(task_name='classification', is_training=1, model_id='SelfRegulationSCP2', model='TimesNet',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id='dfd646e34eaae0553324d409861097622bdd01a4cb5a18ccb9cd1c3b3bbd422a', device=device(type='cuda', index=0), num_class=2)</t>
  </si>
  <si>
    <t>classification_SelfRegulationSCP2_TimesNet_UEA_ftM_sl1152_ll48_pl0_dm128_nh8_el3_dl1_df256_expand2_dc4_fc1_ebtimeF_dtTrue_Exp_0dfd646e34eaae0553324d409861097622bdd01a4cb5a18ccb9cd1c3b3bbd422a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</si>
  <si>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'ea563f68b8d9438ca691d19728ce17e8', 'MLFLOW_TRACKING_USERNAME': 'sunwu', 'MLFLOW_TRACKING_PASSWORD': 'xxxxx', 'MLFLOW_TRACKING_URI': 'http://192.168.10.61:5000', 'MLFLOW_EXPERIMENT_ID': '32', 'KMP_DUPLICATE_LIB_OK': 'True', 'KMP_INIT_AT_FORK': 'FALSE', 'TRAIN_START': '1778994841176705816', 'TORCHINDUCTOR_CACHE_DIR': '/tmp/torchinductor_root', 'TRAIN_END': '1778995229282903246', 'TEST_START': '1778995229282949783', 'TEST_END': '1778995232084533715'}</t>
  </si>
  <si>
    <t>1cd80b1e89c348eeb7f2315d06aa4b89</t>
  </si>
  <si>
    <t>mlflow-artifacts:/32/1cd80b1e89c348eeb7f2315d06aa4b89/artifacts</t>
  </si>
  <si>
    <t>2026-05-17 05:19:36.881000+00:00</t>
  </si>
  <si>
    <t>2026-05-17 05:19:40.080000+00:00</t>
  </si>
  <si>
    <t>run.py --task_name classification --is_training 1 --root_path ./dataset/SelfRegulationSCP1/ --model_id SelfRegulationSCP1 --model TimesNet --data UEA --e_layers 3 --batch_size 32 --d_model 128 --d_ff 256 --top_k 3 --des Exp --itr 1 --learning_rate 0.001 --train_epochs 1000 --patience 10 --seed 2026 --id 9173fc9f8739e780d237bc495afc031feb2003c805c2b60ce81988a42c216d79</t>
  </si>
  <si>
    <t>9173fc9f8739e780d237bc495afc031feb2003c805c2b60ce81988a42c216d79</t>
  </si>
  <si>
    <t>Namespace(task_name='classification', is_training=1, model_id='SelfRegulationSCP1', model='TimesNet',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id='9173fc9f8739e780d237bc495afc031feb2003c805c2b60ce81988a42c216d79', device=device(type='cuda', index=0), num_class=2)</t>
  </si>
  <si>
    <t>classification_SelfRegulationSCP1_TimesNet_UEA_ftM_sl896_ll48_pl0_dm128_nh8_el3_dl1_df256_expand2_dc4_fc1_ebtimeF_dtTrue_Exp_09173fc9f8739e780d237bc495afc031feb2003c805c2b60ce81988a42c216d79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</si>
  <si>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'825c57279e6b4457ae06807ce4de9d3b', 'MLFLOW_TRACKING_USERNAME': 'sunwu', 'MLFLOW_TRACKING_PASSWORD': 'xxxxx', 'MLFLOW_TRACKING_URI': 'http://192.168.10.61:5000', 'MLFLOW_EXPERIMENT_ID': '32', 'KMP_DUPLICATE_LIB_OK': 'True', 'KMP_INIT_AT_FORK': 'FALSE', 'TRAIN_START': '1778994542380359832', 'TORCHINDUCTOR_CACHE_DIR': '/tmp/torchinductor_root', 'TRAIN_END': '1778995168679777787', 'TEST_START': '1778995168679823618', 'TEST_END': '1778995176842904462'}</t>
  </si>
  <si>
    <t>1c3e0ec79c224d44ba751baaae9b0cf2</t>
  </si>
  <si>
    <t>mlflow-artifacts:/32/1c3e0ec79c224d44ba751baaae9b0cf2/artifacts</t>
  </si>
  <si>
    <t>2026-05-17 05:13:19.215000+00:00</t>
  </si>
  <si>
    <t>2026-05-17 05:13:23.461000+00:00</t>
  </si>
  <si>
    <t>run.py --task_name classification --is_training 1 --root_path ./dataset/FaceDetection/ --model_id FaceDetection --model TimesNet --data UEA --e_layers 3 --batch_size 32 --d_model 128 --d_ff 256 --top_k 3 --des Exp --itr 1 --learning_rate 0.001 --train_epochs 1000 --patience 10 --seed 2026 --id f861d1f9458c9cf06c6e245b1879b50e01a9238f20f91497bfdd3c9c0619a405</t>
  </si>
  <si>
    <t>f861d1f9458c9cf06c6e245b1879b50e01a9238f20f91497bfdd3c9c0619a405</t>
  </si>
  <si>
    <t>Namespace(task_name='classification', is_training=1, model_id='FaceDetection', model='TimesNet',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id='f861d1f9458c9cf06c6e245b1879b50e01a9238f20f91497bfdd3c9c0619a405', device=device(type='cuda', index=0), num_class=2)</t>
  </si>
  <si>
    <t>classification_FaceDetection_TimesNet_UEA_ftM_sl62_ll48_pl0_dm128_nh8_el3_dl1_df256_expand2_dc4_fc1_ebtimeF_dtTrue_Exp_0f861d1f9458c9cf06c6e245b1879b50e01a9238f20f91497bfdd3c9c0619a405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</si>
  <si>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'6fce90161c714f88b98c6611142522f9', 'MLFLOW_TRACKING_USERNAME': 'sunwu', 'MLFLOW_TRACKING_PASSWORD': 'xxxxx', 'MLFLOW_TRACKING_URI': 'http://192.168.10.61:5000', 'MLFLOW_EXPERIMENT_ID': '32', 'KMP_DUPLICATE_LIB_OK': 'True', 'KMP_INIT_AT_FORK': 'FALSE', 'TRAIN_START': '1778992768017110034', 'TORCHINDUCTOR_CACHE_DIR': '/tmp/torchinductor_root', 'TRAIN_END': '1778994563220421740', 'TEST_START': '1778994563220470449', 'TEST_END': '1778994798702992869'}</t>
  </si>
  <si>
    <t>cfcfd6793f1140bf9827b78ee9c3d153</t>
  </si>
  <si>
    <t>mlflow-artifacts:/32/cfcfd6793f1140bf9827b78ee9c3d153/artifacts</t>
  </si>
  <si>
    <t>2026-05-17 05:07:13.593000+00:00</t>
  </si>
  <si>
    <t>2026-05-17 05:07:21.580000+00:00</t>
  </si>
  <si>
    <t>run.py --task_name classification --is_training 1 --root_path ./dataset/JapaneseVowels/ --model_id JapaneseVowels --model TimesNet --data UEA --e_layers 3 --batch_size 32 --d_model 128 --d_ff 256 --top_k 3 --des Exp --itr 1 --learning_rate 0.001 --train_epochs 1000 --patience 10 --seed 2026 --id 4ddc893cf98da71cf5ff980aa5fd3166090e3b3e0a487bfbef2ce0035a9245d2</t>
  </si>
  <si>
    <t>4ddc893cf98da71cf5ff980aa5fd3166090e3b3e0a487bfbef2ce0035a9245d2</t>
  </si>
  <si>
    <t>Namespace(task_name='classification', is_training=1, model_id='JapaneseVowels', model='TimesNet',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id='4ddc893cf98da71cf5ff980aa5fd3166090e3b3e0a487bfbef2ce0035a9245d2', device=device(type='cuda', index=0), num_class=9)</t>
  </si>
  <si>
    <t>classification_JapaneseVowels_TimesNet_UEA_ftM_sl29_ll48_pl0_dm128_nh8_el3_dl1_df256_expand2_dc4_fc1_ebtimeF_dtTrue_Exp_04ddc893cf98da71cf5ff980aa5fd3166090e3b3e0a487bfbef2ce0035a9245d2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</si>
  <si>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'fb892d822f884dcdb3517e20908683f9', 'MLFLOW_TRACKING_USERNAME': 'sunwu', 'MLFLOW_TRACKING_PASSWORD': 'xxxxx', 'MLFLOW_TRACKING_URI': 'http://192.168.10.61:5000', 'MLFLOW_EXPERIMENT_ID': '32', 'KMP_DUPLICATE_LIB_OK': 'True', 'KMP_INIT_AT_FORK': 'FALSE', 'TRAIN_START': '1778993916079832646', 'TORCHINDUCTOR_CACHE_DIR': '/tmp/torchinductor_root', 'TRAIN_END': '1778994419405889196', 'TEST_START': '1778994419405976728', 'TEST_END': '1778994433120887421'}</t>
  </si>
  <si>
    <t>7e4105aff48f4a38a9b024568492dd90</t>
  </si>
  <si>
    <t>mlflow-artifacts:/32/7e4105aff48f4a38a9b024568492dd90/artifacts</t>
  </si>
  <si>
    <t>2026-05-17 04:57:20.785000+00:00</t>
  </si>
  <si>
    <t>2026-05-17 04:57:24.275000+00:00</t>
  </si>
  <si>
    <t>run.py --task_name classification --is_training 1 --root_path ./dataset/Heartbeat/ --model_id Heartbeat --model TimesNet --data UEA --e_layers 3 --batch_size 32 --d_model 128 --d_ff 256 --top_k 3 --des Exp --itr 1 --learning_rate 0.001 --train_epochs 1000 --patience 10 --seed 2026 --id f0e61f4a20bee4c832dce91e62277ddd48688ad7eff357e222431b6c940521b6</t>
  </si>
  <si>
    <t>f0e61f4a20bee4c832dce91e62277ddd48688ad7eff357e222431b6c940521b6</t>
  </si>
  <si>
    <t>Namespace(task_name='classification', is_training=1, model_id='Heartbeat', model='TimesNet',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id='f0e61f4a20bee4c832dce91e62277ddd48688ad7eff357e222431b6c940521b6', device=device(type='cuda', index=0), num_class=2)</t>
  </si>
  <si>
    <t>classification_Heartbeat_TimesNet_UEA_ftM_sl405_ll48_pl0_dm128_nh8_el3_dl1_df256_expand2_dc4_fc1_ebtimeF_dtTrue_Exp_0f0e61f4a20bee4c832dce91e62277ddd48688ad7eff357e222431b6c940521b6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</si>
  <si>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'bc53b19d9fdf493e9ba759d76b4236fe', 'MLFLOW_TRACKING_USERNAME': 'sunwu', 'MLFLOW_TRACKING_PASSWORD': 'xxxxx', 'MLFLOW_TRACKING_URI': 'http://192.168.10.61:5000', 'MLFLOW_EXPERIMENT_ID': '32', 'KMP_DUPLICATE_LIB_OK': 'True', 'KMP_INIT_AT_FORK': 'FALSE', 'TRAIN_START': '1778993287800498487', 'TORCHINDUCTOR_CACHE_DIR': '/tmp/torchinductor_root', 'TRAIN_END': '1778993802505820186', 'TEST_START': '1778993802505885857', 'TEST_END': '1778993840304932197'}</t>
  </si>
  <si>
    <t>136cf21a88c74f99964368dd1297f23f</t>
  </si>
  <si>
    <t>mlflow-artifacts:/32/136cf21a88c74f99964368dd1297f23f/artifacts</t>
  </si>
  <si>
    <t>2026-05-17 04:41:00.183000+00:00</t>
  </si>
  <si>
    <t>2026-05-17 04:41:03.400000+00:00</t>
  </si>
  <si>
    <t>run.py --task_name classification --is_training 1 --root_path ./dataset/Handwriting/ --model_id Handwriting --model TimesNet --data UEA --e_layers 3 --batch_size 32 --d_model 128 --d_ff 256 --top_k 3 --des Exp --itr 1 --learning_rate 0.001 --train_epochs 1000 --patience 10 --seed 2026 --id 85444707b98c8a80087188c93f29929ff4c7122e4bdf4e292ff8b86740f8681a</t>
  </si>
  <si>
    <t>85444707b98c8a80087188c93f29929ff4c7122e4bdf4e292ff8b86740f8681a</t>
  </si>
  <si>
    <t>Namespace(task_name='classification', is_training=1, model_id='Handwriting', model='TimesNet',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id='85444707b98c8a80087188c93f29929ff4c7122e4bdf4e292ff8b86740f8681a', device=device(type='cuda', index=0), num_class=26)</t>
  </si>
  <si>
    <t>classification_Handwriting_TimesNet_UEA_ftM_sl152_ll48_pl0_dm128_nh8_el3_dl1_df256_expand2_dc4_fc1_ebtimeF_dtTrue_Exp_085444707b98c8a80087188c93f29929ff4c7122e4bdf4e292ff8b86740f8681a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</si>
  <si>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'b83c3b15f4294bc78cff8b8fc2302348', 'MLFLOW_TRACKING_USERNAME': 'sunwu', 'MLFLOW_TRACKING_PASSWORD': 'xxxxx', 'MLFLOW_TRACKING_URI': 'http://192.168.10.61:5000', 'MLFLOW_EXPERIMENT_ID': '32', 'KMP_DUPLICATE_LIB_OK': 'True', 'KMP_INIT_AT_FORK': 'FALSE', 'TRAIN_START': '1778992323237037084', 'TORCHINDUCTOR_CACHE_DIR': '/tmp/torchinductor_root', 'TRAIN_END': '1778992852569682373', 'TEST_START': '1778992852569729059', 'TEST_END': '1778992860133090484'}</t>
  </si>
  <si>
    <t>6c53089fe7c64edfa8555027714aad56</t>
  </si>
  <si>
    <t>mlflow-artifacts:/32/6c53089fe7c64edfa8555027714aad56/artifacts</t>
  </si>
  <si>
    <t>2026-05-17 04:31:08.408000+00:00</t>
  </si>
  <si>
    <t>2026-05-17 04:31:17.730000+00:00</t>
  </si>
  <si>
    <t>run.py --task_name classification --is_training 1 --root_path ./dataset/EthanolConcentration/ --model_id EthanolConcentration --model TimesNet --data UEA --e_layers 3 --batch_size 32 --d_model 128 --d_ff 256 --top_k 3 --des Exp --itr 1 --learning_rate 0.001 --train_epochs 1000 --patience 10 --seed 2026 --id d932f20d8991b40e3cfe7697af57ae37843a84b760bdbc416aeece614287e172</t>
  </si>
  <si>
    <t>d932f20d8991b40e3cfe7697af57ae37843a84b760bdbc416aeece614287e172</t>
  </si>
  <si>
    <t>Namespace(task_name='classification', is_training=1, model_id='EthanolConcentration', model='TimesNet',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id='d932f20d8991b40e3cfe7697af57ae37843a84b760bdbc416aeece614287e172', device=device(type='cuda', index=0), num_class=4)</t>
  </si>
  <si>
    <t>classification_EthanolConcentration_TimesNet_UEA_ftM_sl1751_ll48_pl0_dm128_nh8_el3_dl1_df256_expand2_dc4_fc1_ebtimeF_dtTrue_Exp_0d932f20d8991b40e3cfe7697af57ae37843a84b760bdbc416aeece614287e172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</si>
  <si>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'ab3d5264407b421f8e60973130486da4', 'MLFLOW_TRACKING_USERNAME': 'sunwu', 'MLFLOW_TRACKING_PASSWORD': 'xxxxx', 'MLFLOW_TRACKING_URI': 'http://192.168.10.61:5000', 'MLFLOW_EXPERIMENT_ID': '32', 'KMP_DUPLICATE_LIB_OK': 'True', 'KMP_INIT_AT_FORK': 'FALSE', 'TRAIN_START': '1778991678060972197', 'TORCHINDUCTOR_CACHE_DIR': '/tmp/torchinductor_root', 'TRAIN_END': '1778992259682379864', 'TEST_START': '1778992259682424720', 'TEST_END': '1778992268341517146'}</t>
  </si>
  <si>
    <t>96d890c1b5d84e8a923a732db4bc16c9</t>
  </si>
  <si>
    <t>mlflow-artifacts:/32/96d890c1b5d84e8a923a732db4bc16c9/artifacts</t>
  </si>
  <si>
    <t>2026-05-17 04:22:10.717000+00:00</t>
  </si>
  <si>
    <t>2026-05-17 04:22:13.880000+00:00</t>
  </si>
  <si>
    <t>run.py --task_name classification --is_training 1 --root_path ./dataset/PEMS-SF/ --model_id PEMS-SF --model TimesNet --data UEA --e_layers 3 --batch_size 32 --d_model 128 --d_ff 256 --top_k 3 --des Exp --itr 1 --learning_rate 0.001 --train_epochs 1000 --patience 10 --seed 1234 --id 3ce059f49eaeb73b2446a19e80f2b2a20a0dccc56568e916cf8a30168661d409</t>
  </si>
  <si>
    <t>3ce059f49eaeb73b2446a19e80f2b2a20a0dccc56568e916cf8a30168661d409</t>
  </si>
  <si>
    <t>Namespace(task_name='classification', is_training=1, model_id='PEMS-SF', model='TimesNet',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id='3ce059f49eaeb73b2446a19e80f2b2a20a0dccc56568e916cf8a30168661d409', device=device(type='cuda', index=0), num_class=7)</t>
  </si>
  <si>
    <t>classification_PEMS-SF_TimesNet_UEA_ftM_sl144_ll48_pl0_dm128_nh8_el3_dl1_df256_expand2_dc4_fc1_ebtimeF_dtTrue_Exp_03ce059f49eaeb73b2446a19e80f2b2a20a0dccc56568e916cf8a30168661d409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</si>
  <si>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'86c36b225da44bd1afc024ce79aab766', 'MLFLOW_TRACKING_USERNAME': 'sunwu', 'MLFLOW_TRACKING_PASSWORD': 'xxxxx', 'MLFLOW_TRACKING_URI': 'http://192.168.10.61:5000', 'MLFLOW_EXPERIMENT_ID': '32', 'KMP_DUPLICATE_LIB_OK': 'True', 'KMP_INIT_AT_FORK': 'FALSE', 'TRAIN_START': '1778990981307999976', 'TORCHINDUCTOR_CACHE_DIR': '/tmp/torchinductor_root', 'TRAIN_END': '1778991674281087339', 'TEST_START': '1778991674281165237', 'TEST_END': '1778991730662381279'}</t>
  </si>
  <si>
    <t>312692fa9fa544349e807c4f60fa6ae1</t>
  </si>
  <si>
    <t>mlflow-artifacts:/32/312692fa9fa544349e807c4f60fa6ae1/artifacts</t>
  </si>
  <si>
    <t>2026-05-17 04:20:59.402000+00:00</t>
  </si>
  <si>
    <t>2026-05-17 04:21:02.538000+00:00</t>
  </si>
  <si>
    <t>run.py --task_name classification --is_training 1 --root_path ./dataset/UWaveGestureLibrary/ --model_id UWaveGestureLibrary --model TimesNet --data UEA --e_layers 3 --batch_size 32 --d_model 128 --d_ff 256 --top_k 3 --des Exp --itr 1 --learning_rate 0.001 --train_epochs 1000 --patience 10 --seed 2026 --id 038be815ceddaf294de43f8369877e6a9ab290328014583db36d2af958beba1e</t>
  </si>
  <si>
    <t>038be815ceddaf294de43f8369877e6a9ab290328014583db36d2af958beba1e</t>
  </si>
  <si>
    <t>Namespace(task_name='classification', is_training=1, model_id='UWaveGestureLibrary', model='TimesNet',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id='038be815ceddaf294de43f8369877e6a9ab290328014583db36d2af958beba1e', device=device(type='cuda', index=0), num_class=8)</t>
  </si>
  <si>
    <t>classification_UWaveGestureLibrary_TimesNet_UEA_ftM_sl315_ll48_pl0_dm128_nh8_el3_dl1_df256_expand2_dc4_fc1_ebtimeF_dtTrue_Exp_0038be815ceddaf294de43f8369877e6a9ab290328014583db36d2af958beba1e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</si>
  <si>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'ef5953746e6340bea2a009fdc426bf7a', 'MLFLOW_TRACKING_USERNAME': 'sunwu', 'MLFLOW_TRACKING_PASSWORD': 'xxxxx', 'MLFLOW_TRACKING_URI': 'http://192.168.10.61:5000', 'MLFLOW_EXPERIMENT_ID': '32', 'KMP_DUPLICATE_LIB_OK': 'True', 'KMP_INIT_AT_FORK': 'FALSE', 'TRAIN_START': '1778991439708862003', 'TORCHINDUCTOR_CACHE_DIR': '/tmp/torchinductor_root', 'TRAIN_END': '1778991654709933342', 'TEST_START': '1778991654709978727', 'TEST_END': '1778991659344907612'}</t>
  </si>
  <si>
    <t>fac4349c33f74250afa536ac42e9764e</t>
  </si>
  <si>
    <t>mlflow-artifacts:/32/fac4349c33f74250afa536ac42e9764e/artifacts</t>
  </si>
  <si>
    <t>2026-05-17 04:17:00.893000+00:00</t>
  </si>
  <si>
    <t>2026-05-17 04:17:07.289000+00:00</t>
  </si>
  <si>
    <t>run.py --task_name classification --is_training 1 --root_path ./dataset/SpokenArabicDigits/ --model_id SpokenArabicDigits --model TimesNet --data UEA --e_layers 3 --batch_size 32 --d_model 128 --d_ff 256 --top_k 3 --des Exp --itr 1 --learning_rate 0.001 --train_epochs 1000 --patience 10 --seed 1234 --id 0326566ee9920866917a42b6a31d702b8f1549b259c661f988b7e23c5316cb10</t>
  </si>
  <si>
    <t>0326566ee9920866917a42b6a31d702b8f1549b259c661f988b7e23c5316cb10</t>
  </si>
  <si>
    <t>Namespace(task_name='classification', is_training=1, model_id='SpokenArabicDigits', model='TimesNet',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id='0326566ee9920866917a42b6a31d702b8f1549b259c661f988b7e23c5316cb10', device=device(type='cuda', index=0), num_class=10)</t>
  </si>
  <si>
    <t>classification_SpokenArabicDigits_TimesNet_UEA_ftM_sl93_ll48_pl0_dm128_nh8_el3_dl1_df256_expand2_dc4_fc1_ebtimeF_dtTrue_Exp_00326566ee9920866917a42b6a31d702b8f1549b259c661f988b7e23c5316cb10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</si>
  <si>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'4f089c3ae65c4d4f975cbf515d0750a0', 'MLFLOW_TRACKING_USERNAME': 'sunwu', 'MLFLOW_TRACKING_PASSWORD': 'xxxxx', 'MLFLOW_TRACKING_URI': 'http://192.168.10.61:5000', 'MLFLOW_EXPERIMENT_ID': '32', 'KMP_DUPLICATE_LIB_OK': 'True', 'KMP_INIT_AT_FORK': 'FALSE', 'TRAIN_START': '1778988688093702974', 'TORCHINDUCTOR_CACHE_DIR': '/tmp/torchinductor_root', 'TRAIN_END': '1778991404188031883', 'TEST_START': '1778991404188093084', 'TEST_END': '1778991420824903192'}</t>
  </si>
  <si>
    <t>e6ecd4f01598424997477cb52720c3db</t>
  </si>
  <si>
    <t>mlflow-artifacts:/32/e6ecd4f01598424997477cb52720c3db/artifacts</t>
  </si>
  <si>
    <t>2026-05-17 03:45:40.289000+00:00</t>
  </si>
  <si>
    <t>2026-05-17 03:45:43.680000+00:00</t>
  </si>
  <si>
    <t>run.py --task_name classification --is_training 1 --root_path ./dataset/FaceDetection/ --model_id FaceDetection --model TimesNet --data UEA --e_layers 3 --batch_size 32 --d_model 128 --d_ff 256 --top_k 3 --des Exp --itr 1 --learning_rate 0.001 --train_epochs 1000 --patience 10 --seed 1234 --id f67ee9d20bae9a762a8d14ad9450a1113f981f9c3fc021c08c66646aee50cb7f</t>
  </si>
  <si>
    <t>f67ee9d20bae9a762a8d14ad9450a1113f981f9c3fc021c08c66646aee50cb7f</t>
  </si>
  <si>
    <t>Namespace(task_name='classification', is_training=1, model_id='FaceDetection', model='TimesNet',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id='f67ee9d20bae9a762a8d14ad9450a1113f981f9c3fc021c08c66646aee50cb7f', device=device(type='cuda', index=0), num_class=2)</t>
  </si>
  <si>
    <t>classification_FaceDetection_TimesNet_UEA_ftM_sl62_ll48_pl0_dm128_nh8_el3_dl1_df256_expand2_dc4_fc1_ebtimeF_dtTrue_Exp_0f67ee9d20bae9a762a8d14ad9450a1113f981f9c3fc021c08c66646aee50cb7f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</si>
  <si>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'a2234451f6d942b594a0eff124389a01', 'MLFLOW_TRACKING_USERNAME': 'sunwu', 'MLFLOW_TRACKING_PASSWORD': 'xxxxx', 'MLFLOW_TRACKING_URI': 'http://192.168.10.61:5000', 'MLFLOW_EXPERIMENT_ID': '32', 'KMP_DUPLICATE_LIB_OK': 'True', 'KMP_INIT_AT_FORK': 'FALSE', 'TRAIN_START': '1778986298282776256', 'TORCHINDUCTOR_CACHE_DIR': '/tmp/torchinductor_root', 'TRAIN_END': '1778988939439227188', 'TEST_START': '1778988939439304105', 'TEST_END': '1778989539799629898'}</t>
  </si>
  <si>
    <t>4e4f8bcd9ad74d1492e328aa7ee4ac15</t>
  </si>
  <si>
    <t>mlflow-artifacts:/32/4e4f8bcd9ad74d1492e328aa7ee4ac15/artifacts</t>
  </si>
  <si>
    <t>2026-05-17 03:27:05.103000+00:00</t>
  </si>
  <si>
    <t>2026-05-17 03:27:09.569000+00:00</t>
  </si>
  <si>
    <t>run.py --task_name classification --is_training 1 --root_path ./dataset/SelfRegulationSCP2/ --model_id SelfRegulationSCP2 --model TimesNet --data UEA --e_layers 3 --batch_size 32 --d_model 128 --d_ff 256 --top_k 3 --des Exp --itr 1 --learning_rate 0.001 --train_epochs 1000 --patience 10 --seed 1234 --id 8faefdc5df889c66e7f5d18903cc6c72446fb1e57f83772883dda8c7943226e6</t>
  </si>
  <si>
    <t>8faefdc5df889c66e7f5d18903cc6c72446fb1e57f83772883dda8c7943226e6</t>
  </si>
  <si>
    <t>Namespace(task_name='classification', is_training=1, model_id='SelfRegulationSCP2', model='TimesNet',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id='8faefdc5df889c66e7f5d18903cc6c72446fb1e57f83772883dda8c7943226e6', device=device(type='cuda', index=0), num_class=2)</t>
  </si>
  <si>
    <t>classification_SelfRegulationSCP2_TimesNet_UEA_ftM_sl1152_ll48_pl0_dm128_nh8_el3_dl1_df256_expand2_dc4_fc1_ebtimeF_dtTrue_Exp_08faefdc5df889c66e7f5d18903cc6c72446fb1e57f83772883dda8c7943226e6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</si>
  <si>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'4834a5bfa77941f7b36acf831b58efa9', 'MLFLOW_TRACKING_USERNAME': 'sunwu', 'MLFLOW_TRACKING_PASSWORD': 'xxxxx', 'MLFLOW_TRACKING_URI': 'http://192.168.10.61:5000', 'MLFLOW_EXPERIMENT_ID': '32', 'KMP_DUPLICATE_LIB_OK': 'True', 'KMP_INIT_AT_FORK': 'FALSE', 'TRAIN_START': '1778988112604185087', 'TORCHINDUCTOR_CACHE_DIR': '/tmp/torchinductor_root', 'TRAIN_END': '1778988412692475827', 'TEST_START': '1778988412692637820', 'TEST_END': '1778988423918934977'}</t>
  </si>
  <si>
    <t>368a880e4a3e4cd59b906f2b4fce69af</t>
  </si>
  <si>
    <t>mlflow-artifacts:/32/368a880e4a3e4cd59b906f2b4fce69af/artifacts</t>
  </si>
  <si>
    <t>2026-05-17 03:20:05.486000+00:00</t>
  </si>
  <si>
    <t>2026-05-17 03:20:11.279000+00:00</t>
  </si>
  <si>
    <t>run.py --task_name classification --is_training 1 --root_path ./dataset/SelfRegulationSCP1/ --model_id SelfRegulationSCP1 --model TimesNet --data UEA --e_layers 3 --batch_size 32 --d_model 128 --d_ff 256 --top_k 3 --des Exp --itr 1 --learning_rate 0.001 --train_epochs 1000 --patience 10 --seed 1234 --id 938b2e9ed45c59051f2a91439d1b9363a62c7583e8258fd91a918fec5b93e82d</t>
  </si>
  <si>
    <t>938b2e9ed45c59051f2a91439d1b9363a62c7583e8258fd91a918fec5b93e82d</t>
  </si>
  <si>
    <t>Namespace(task_name='classification', is_training=1, model_id='SelfRegulationSCP1', model='TimesNet',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id='938b2e9ed45c59051f2a91439d1b9363a62c7583e8258fd91a918fec5b93e82d', device=device(type='cuda', index=0), num_class=2)</t>
  </si>
  <si>
    <t>classification_SelfRegulationSCP1_TimesNet_UEA_ftM_sl896_ll48_pl0_dm128_nh8_el3_dl1_df256_expand2_dc4_fc1_ebtimeF_dtTrue_Exp_0938b2e9ed45c59051f2a91439d1b9363a62c7583e8258fd91a918fec5b93e82d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</si>
  <si>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'd3c8a7d41b4c450c8004b20c81ef3c5a', 'MLFLOW_TRACKING_USERNAME': 'sunwu', 'MLFLOW_TRACKING_PASSWORD': 'xxxxx', 'MLFLOW_TRACKING_URI': 'http://192.168.10.61:5000', 'MLFLOW_EXPERIMENT_ID': '32', 'KMP_DUPLICATE_LIB_OK': 'True', 'KMP_INIT_AT_FORK': 'FALSE', 'TRAIN_START': '1778987289581263380', 'TORCHINDUCTOR_CACHE_DIR': '/tmp/torchinductor_root', 'TRAIN_END': '1778987987897520903', 'TEST_START': '1778987987897610319', 'TEST_END': '1778988004989044772'}</t>
  </si>
  <si>
    <t>e0d894c49b4b4938986d9379566858c1</t>
  </si>
  <si>
    <t>mlflow-artifacts:/32/e0d894c49b4b4938986d9379566858c1/artifacts</t>
  </si>
  <si>
    <t>2026-05-17 03:06:37.688000+00:00</t>
  </si>
  <si>
    <t>2026-05-17 03:06:41.494000+00:00</t>
  </si>
  <si>
    <t>run.py --task_name classification --is_training 1 --root_path ./dataset/JapaneseVowels/ --model_id JapaneseVowels --model TimesNet --data UEA --e_layers 3 --batch_size 32 --d_model 128 --d_ff 256 --top_k 3 --des Exp --itr 1 --learning_rate 0.001 --train_epochs 1000 --patience 10 --seed 1234 --id 33570f8af6c99159cecf8edf3e3b872df546f3f38921cf2b1357899241ce9e7e</t>
  </si>
  <si>
    <t>33570f8af6c99159cecf8edf3e3b872df546f3f38921cf2b1357899241ce9e7e</t>
  </si>
  <si>
    <t>Namespace(task_name='classification', is_training=1, model_id='JapaneseVowels', model='TimesNet',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id='33570f8af6c99159cecf8edf3e3b872df546f3f38921cf2b1357899241ce9e7e', device=device(type='cuda', index=0), num_class=9)</t>
  </si>
  <si>
    <t>classification_JapaneseVowels_TimesNet_UEA_ftM_sl29_ll48_pl0_dm128_nh8_el3_dl1_df256_expand2_dc4_fc1_ebtimeF_dtTrue_Exp_033570f8af6c99159cecf8edf3e3b872df546f3f38921cf2b1357899241ce9e7e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</si>
  <si>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'653299ffe7ec47f2a6355318dea4da3d', 'MLFLOW_TRACKING_USERNAME': 'sunwu', 'MLFLOW_TRACKING_PASSWORD': 'xxxxx', 'MLFLOW_TRACKING_URI': 'http://192.168.10.61:5000', 'MLFLOW_EXPERIMENT_ID': '32', 'KMP_DUPLICATE_LIB_OK': 'True', 'KMP_INIT_AT_FORK': 'FALSE', 'TRAIN_START': '1778986719723949356', 'TORCHINDUCTOR_CACHE_DIR': '/tmp/torchinductor_root', 'TRAIN_END': '1778987186895219614', 'TEST_START': '1778987186895319096', 'TEST_END': '1778987197288722955'}</t>
  </si>
  <si>
    <t>49f40cf8186f4997b319d0f232beb4e5</t>
  </si>
  <si>
    <t>mlflow-artifacts:/32/49f40cf8186f4997b319d0f232beb4e5/artifacts</t>
  </si>
  <si>
    <t>2026-05-17 02:58:11.706000+00:00</t>
  </si>
  <si>
    <t>2026-05-17 02:58:19.296000+00:00</t>
  </si>
  <si>
    <t>run.py --task_name classification --is_training 1 --root_path ./dataset/Heartbeat/ --model_id Heartbeat --model TimesNet --data UEA --e_layers 3 --batch_size 32 --d_model 128 --d_ff 256 --top_k 3 --des Exp --itr 1 --learning_rate 0.001 --train_epochs 1000 --patience 10 --seed 1234 --id e04643b1f0201a8b0f3b5bdf09ef08ee8021850635d644d132eff8336ce050bb</t>
  </si>
  <si>
    <t>e04643b1f0201a8b0f3b5bdf09ef08ee8021850635d644d132eff8336ce050bb</t>
  </si>
  <si>
    <t>Namespace(task_name='classification', is_training=1, model_id='Heartbeat', model='TimesNet',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id='e04643b1f0201a8b0f3b5bdf09ef08ee8021850635d644d132eff8336ce050bb', device=device(type='cuda', index=0), num_class=2)</t>
  </si>
  <si>
    <t>classification_Heartbeat_TimesNet_UEA_ftM_sl405_ll48_pl0_dm128_nh8_el3_dl1_df256_expand2_dc4_fc1_ebtimeF_dtTrue_Exp_0e04643b1f0201a8b0f3b5bdf09ef08ee8021850635d644d132eff8336ce050bb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</si>
  <si>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'dab26a6223144183bcca7ef4e56ce022', 'MLFLOW_TRACKING_USERNAME': 'sunwu', 'MLFLOW_TRACKING_PASSWORD': 'xxxxx', 'MLFLOW_TRACKING_URI': 'http://192.168.10.61:5000', 'MLFLOW_EXPERIMENT_ID': '32', 'KMP_DUPLICATE_LIB_OK': 'True', 'KMP_INIT_AT_FORK': 'FALSE', 'TRAIN_START': '1778986318706573265', 'TORCHINDUCTOR_CACHE_DIR': '/tmp/torchinductor_root', 'TRAIN_END': '1778986685692168809', 'TEST_START': '1778986685692213131', 'TEST_END': '1778986691645624324'}</t>
  </si>
  <si>
    <t>adeda44b086e490999d0b5fd9d725b9f</t>
  </si>
  <si>
    <t>mlflow-artifacts:/32/adeda44b086e490999d0b5fd9d725b9f/artifacts</t>
  </si>
  <si>
    <t>2026-05-17 02:51:29.887000+00:00</t>
  </si>
  <si>
    <t>2026-05-17 02:51:32.988000+00:00</t>
  </si>
  <si>
    <t>run.py --task_name classification --is_training 1 --root_path ./dataset/Handwriting/ --model_id Handwriting --model TimesNet --data UEA --e_layers 3 --batch_size 32 --d_model 128 --d_ff 256 --top_k 3 --des Exp --itr 1 --learning_rate 0.001 --train_epochs 1000 --patience 10 --seed 1234 --id 33312f3ff0f44bd61a98396fd6f876494bbc42447f9b5c3660eca10a038ef17c</t>
  </si>
  <si>
    <t>33312f3ff0f44bd61a98396fd6f876494bbc42447f9b5c3660eca10a038ef17c</t>
  </si>
  <si>
    <t>Namespace(task_name='classification', is_training=1, model_id='Handwriting', model='TimesNet',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id='33312f3ff0f44bd61a98396fd6f876494bbc42447f9b5c3660eca10a038ef17c', device=device(type='cuda', index=0), num_class=26)</t>
  </si>
  <si>
    <t>classification_Handwriting_TimesNet_UEA_ftM_sl152_ll48_pl0_dm128_nh8_el3_dl1_df256_expand2_dc4_fc1_ebtimeF_dtTrue_Exp_033312f3ff0f44bd61a98396fd6f876494bbc42447f9b5c3660eca10a038ef17c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</si>
  <si>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'114edf951ca3465a83820711bd3af2c4', 'MLFLOW_TRACKING_USERNAME': 'sunwu', 'MLFLOW_TRACKING_PASSWORD': 'xxxxx', 'MLFLOW_TRACKING_URI': 'http://192.168.10.61:5000', 'MLFLOW_EXPERIMENT_ID': '32', 'KMP_DUPLICATE_LIB_OK': 'True', 'KMP_INIT_AT_FORK': 'FALSE', 'TRAIN_START': '1778985681321429899', 'TORCHINDUCTOR_CACHE_DIR': '/tmp/torchinductor_root', 'TRAIN_END': '1778986281990212636', 'TEST_START': '1778986281990269014', 'TEST_END': '1778986289833983344'}</t>
  </si>
  <si>
    <t>1c514a4f65e4496d9c77729bc75c9a88</t>
  </si>
  <si>
    <t>mlflow-artifacts:/32/1c514a4f65e4496d9c77729bc75c9a88/artifacts</t>
  </si>
  <si>
    <t>2026-05-17 02:39:00.324000+00:00</t>
  </si>
  <si>
    <t>2026-05-17 02:39:03.559000+00:00</t>
  </si>
  <si>
    <t>run.py --task_name classification --is_training 1 --root_path ./dataset/EthanolConcentration/ --model_id EthanolConcentration --model TimesNet --data UEA --e_layers 3 --batch_size 32 --d_model 128 --d_ff 256 --top_k 3 --des Exp --itr 1 --learning_rate 0.001 --train_epochs 1000 --patience 10 --seed 1234 --id 2d8a02527e2d6f770579096eee88cfcbc11895df96bcc753f24a866f57a57248</t>
  </si>
  <si>
    <t>2d8a02527e2d6f770579096eee88cfcbc11895df96bcc753f24a866f57a57248</t>
  </si>
  <si>
    <t>Namespace(task_name='classification', is_training=1, model_id='EthanolConcentration', model='TimesNet',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id='2d8a02527e2d6f770579096eee88cfcbc11895df96bcc753f24a866f57a57248', device=device(type='cuda', index=0), num_class=4)</t>
  </si>
  <si>
    <t>classification_EthanolConcentration_TimesNet_UEA_ftM_sl1751_ll48_pl0_dm128_nh8_el3_dl1_df256_expand2_dc4_fc1_ebtimeF_dtTrue_Exp_02d8a02527e2d6f770579096eee88cfcbc11895df96bcc753f24a866f57a57248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</si>
  <si>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'cc396bc1dba14cd29a9adbc6a8ce87a5', 'MLFLOW_TRACKING_USERNAME': 'sunwu', 'MLFLOW_TRACKING_PASSWORD': 'xxxxx', 'MLFLOW_TRACKING_URI': 'http://192.168.10.61:5000', 'MLFLOW_EXPERIMENT_ID': '32', 'KMP_DUPLICATE_LIB_OK': 'True', 'KMP_INIT_AT_FORK': 'FALSE', 'TRAIN_START': '1778984929996013635', 'TORCHINDUCTOR_CACHE_DIR': '/tmp/torchinductor_root', 'TRAIN_END': '1778985531540205236', 'TEST_START': '1778985531540248636', 'TEST_END': '1778985540262718220'}</t>
  </si>
  <si>
    <t>e5c98771ba6c4592bf096a4dcc357c65</t>
  </si>
  <si>
    <t>mlflow-artifacts:/32/e5c98771ba6c4592bf096a4dcc357c65/artifacts</t>
  </si>
  <si>
    <t>2026-05-17 02:31:37.698000+00:00</t>
  </si>
  <si>
    <t>2026-05-17 02:31:40.857000+00:00</t>
  </si>
  <si>
    <t>run.py --task_name classification --is_training 1 --root_path ./dataset/UWaveGestureLibrary/ --model_id UWaveGestureLibrary --model TimesNet --data UEA --e_layers 3 --batch_size 32 --d_model 128 --d_ff 256 --top_k 3 --des Exp --itr 1 --learning_rate 0.001 --train_epochs 1000 --patience 10 --seed 1234 --id 17fda4885cc0a14554cd5e0f6d35955ef961b743d9273a39080ce786075c94b8</t>
  </si>
  <si>
    <t>17fda4885cc0a14554cd5e0f6d35955ef961b743d9273a39080ce786075c94b8</t>
  </si>
  <si>
    <t>Namespace(task_name='classification', is_training=1, model_id='UWaveGestureLibrary', model='TimesNet',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id='17fda4885cc0a14554cd5e0f6d35955ef961b743d9273a39080ce786075c94b8', device=device(type='cuda', index=0), num_class=8)</t>
  </si>
  <si>
    <t>classification_UWaveGestureLibrary_TimesNet_UEA_ftM_sl315_ll48_pl0_dm128_nh8_el3_dl1_df256_expand2_dc4_fc1_ebtimeF_dtTrue_Exp_017fda4885cc0a14554cd5e0f6d35955ef961b743d9273a39080ce786075c94b8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</si>
  <si>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'1d4714dcb101483ab2f5997aa3d47025', 'MLFLOW_TRACKING_USERNAME': 'sunwu', 'MLFLOW_TRACKING_PASSWORD': 'xxxxx', 'MLFLOW_TRACKING_URI': 'http://192.168.10.61:5000', 'MLFLOW_EXPERIMENT_ID': '32', 'KMP_DUPLICATE_LIB_OK': 'True', 'KMP_INIT_AT_FORK': 'FALSE', 'TRAIN_START': '1778984823443556045', 'TORCHINDUCTOR_CACHE_DIR': '/tmp/torchinductor_root', 'TRAIN_END': '1778985091550517811', 'TEST_START': '1778985091550582961', 'TEST_END': '1778985097648315678'}</t>
  </si>
  <si>
    <t>9237e39fb8454888b7e802ae376981eb</t>
  </si>
  <si>
    <t>mlflow-artifacts:/32/9237e39fb8454888b7e802ae376981eb/artifacts</t>
  </si>
  <si>
    <t>2026-05-17 02:27:54.069000+00:00</t>
  </si>
  <si>
    <t>2026-05-17 02:27:57.480000+00:00</t>
  </si>
  <si>
    <t>run.py --task_name classification --is_training 1 --root_path ./dataset/PEMS-SF/ --model_id PEMS-SF --model TimesNet --data UEA --e_layers 3 --batch_size 32 --d_model 128 --d_ff 256 --top_k 3 --des Exp --itr 1 --learning_rate 0.001 --train_epochs 1000 --patience 10 --seed 123 --id 4bb5131b597e9c23bd819ec209180f619fc75539410b6e3743b1c85e88dd5032</t>
  </si>
  <si>
    <t>4bb5131b597e9c23bd819ec209180f619fc75539410b6e3743b1c85e88dd5032</t>
  </si>
  <si>
    <t>Namespace(task_name='classification', is_training=1, model_id='PEMS-SF', model='TimesNet',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id='4bb5131b597e9c23bd819ec209180f619fc75539410b6e3743b1c85e88dd5032', device=device(type='cuda', index=0), num_class=7)</t>
  </si>
  <si>
    <t>classification_PEMS-SF_TimesNet_UEA_ftM_sl144_ll48_pl0_dm128_nh8_el3_dl1_df256_expand2_dc4_fc1_ebtimeF_dtTrue_Exp_04bb5131b597e9c23bd819ec209180f619fc75539410b6e3743b1c85e88dd5032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</si>
  <si>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'6245175e139b49b698f2b049e95a42bd', 'MLFLOW_TRACKING_USERNAME': 'sunwu', 'MLFLOW_TRACKING_PASSWORD': 'xxxxx', 'MLFLOW_TRACKING_URI': 'http://192.168.10.61:5000', 'MLFLOW_EXPERIMENT_ID': '32', 'KMP_DUPLICATE_LIB_OK': 'True', 'KMP_INIT_AT_FORK': 'FALSE', 'TRAIN_START': '1778983707280480223', 'TORCHINDUCTOR_CACHE_DIR': '/tmp/torchinductor_root', 'TRAIN_END': '1778984802504266416', 'TEST_START': '1778984802504398233', 'TEST_END': '1778984874004568720'}</t>
  </si>
  <si>
    <t>b336fd696c6c40c6ae6b238b77541585</t>
  </si>
  <si>
    <t>mlflow-artifacts:/32/b336fd696c6c40c6ae6b238b77541585/artifacts</t>
  </si>
  <si>
    <t>2026-05-17 02:26:49.600000+00:00</t>
  </si>
  <si>
    <t>2026-05-17 02:26:52.777000+00:00</t>
  </si>
  <si>
    <t>run.py --task_name classification --is_training 1 --root_path ./dataset/SpokenArabicDigits/ --model_id SpokenArabicDigits --model TimesNet --data UEA --e_layers 3 --batch_size 32 --d_model 128 --d_ff 256 --top_k 3 --des Exp --itr 1 --learning_rate 0.001 --train_epochs 1000 --patience 10 --seed 123 --id 50203c726d92b66d807af713455c50239b3cf1080be1b8375c18828d209217c1</t>
  </si>
  <si>
    <t>50203c726d92b66d807af713455c50239b3cf1080be1b8375c18828d209217c1</t>
  </si>
  <si>
    <t>Namespace(task_name='classification', is_training=1, model_id='SpokenArabicDigits', model='TimesNet',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id='50203c726d92b66d807af713455c50239b3cf1080be1b8375c18828d209217c1', device=device(type='cuda', index=0), num_class=10)</t>
  </si>
  <si>
    <t>classification_SpokenArabicDigits_TimesNet_UEA_ftM_sl93_ll48_pl0_dm128_nh8_el3_dl1_df256_expand2_dc4_fc1_ebtimeF_dtTrue_Exp_050203c726d92b66d807af713455c50239b3cf1080be1b8375c18828d209217c1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</si>
  <si>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'f0718e786cf74f21826308da3b007b20', 'MLFLOW_TRACKING_USERNAME': 'sunwu', 'MLFLOW_TRACKING_PASSWORD': 'xxxxx', 'MLFLOW_TRACKING_URI': 'http://192.168.10.61:5000', 'MLFLOW_EXPERIMENT_ID': '32', 'KMP_DUPLICATE_LIB_OK': 'True', 'KMP_INIT_AT_FORK': 'FALSE', 'TRAIN_START': '1778982525118209346', 'TORCHINDUCTOR_CACHE_DIR': '/tmp/torchinductor_root', 'TRAIN_END': '1778984791730121127', 'TEST_START': '1778984791730186705', 'TEST_END': '1778984809548806297'}</t>
  </si>
  <si>
    <t>97d78d7795e94c94b3d83c47ba9fa91d</t>
  </si>
  <si>
    <t>mlflow-artifacts:/32/97d78d7795e94c94b3d83c47ba9fa91d/artifacts</t>
  </si>
  <si>
    <t>2026-05-17 01:48:13.208000+00:00</t>
  </si>
  <si>
    <t>2026-05-17 01:48:18.236000+00:00</t>
  </si>
  <si>
    <t>run.py --task_name classification --is_training 1 --root_path ./dataset/SelfRegulationSCP1/ --model_id SelfRegulationSCP1 --model TimesNet --data UEA --e_layers 3 --batch_size 32 --d_model 128 --d_ff 256 --top_k 3 --des Exp --itr 1 --learning_rate 0.001 --train_epochs 1000 --patience 10 --seed 123 --id cb77209b337c181942490c9c5299399a31359eeef886abd2ea96d2971f7e3556</t>
  </si>
  <si>
    <t>cb77209b337c181942490c9c5299399a31359eeef886abd2ea96d2971f7e3556</t>
  </si>
  <si>
    <t>Namespace(task_name='classification', is_training=1, model_id='SelfRegulationSCP1', model='TimesNet',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id='cb77209b337c181942490c9c5299399a31359eeef886abd2ea96d2971f7e3556', device=device(type='cuda', index=0), num_class=2)</t>
  </si>
  <si>
    <t>classification_SelfRegulationSCP1_TimesNet_UEA_ftM_sl896_ll48_pl0_dm128_nh8_el3_dl1_df256_expand2_dc4_fc1_ebtimeF_dtTrue_Exp_0cb77209b337c181942490c9c5299399a31359eeef886abd2ea96d2971f7e3556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</si>
  <si>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'08a0d405545345098963bdafe4427945', 'MLFLOW_TRACKING_USERNAME': 'sunwu', 'MLFLOW_TRACKING_PASSWORD': 'xxxxx', 'MLFLOW_TRACKING_URI': 'http://192.168.10.61:5000', 'MLFLOW_EXPERIMENT_ID': '32', 'KMP_DUPLICATE_LIB_OK': 'True', 'KMP_INIT_AT_FORK': 'FALSE', 'TRAIN_START': '1778981754085847482', 'TORCHINDUCTOR_CACHE_DIR': '/tmp/torchinductor_root', 'TRAIN_END': '1778982486186522150', 'TEST_START': '1778982486186592887', 'TEST_END': '1778982493157183192'}</t>
  </si>
  <si>
    <t>36096d476b91480fbe71c08f7688738f</t>
  </si>
  <si>
    <t>mlflow-artifacts:/32/36096d476b91480fbe71c08f7688738f/artifacts</t>
  </si>
  <si>
    <t>2026-05-17 01:47:27.432000+00:00</t>
  </si>
  <si>
    <t>2026-05-17 01:47:38.693000+00:00</t>
  </si>
  <si>
    <t>run.py --task_name classification --is_training 1 --root_path ./dataset/SelfRegulationSCP2/ --model_id SelfRegulationSCP2 --model TimesNet --data UEA --e_layers 3 --batch_size 32 --d_model 128 --d_ff 256 --top_k 3 --des Exp --itr 1 --learning_rate 0.001 --train_epochs 1000 --patience 10 --seed 123 --id 6172d3a895fec8e9b24e37d05cd38888656a77e8a6a6cb4852677357db9d82f8</t>
  </si>
  <si>
    <t>6172d3a895fec8e9b24e37d05cd38888656a77e8a6a6cb4852677357db9d82f8</t>
  </si>
  <si>
    <t>Namespace(task_name='classification', is_training=1, model_id='SelfRegulationSCP2', model='TimesNet',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id='6172d3a895fec8e9b24e37d05cd38888656a77e8a6a6cb4852677357db9d82f8', device=device(type='cuda', index=0), num_class=2)</t>
  </si>
  <si>
    <t>classification_SelfRegulationSCP2_TimesNet_UEA_ftM_sl1152_ll48_pl0_dm128_nh8_el3_dl1_df256_expand2_dc4_fc1_ebtimeF_dtTrue_Exp_06172d3a895fec8e9b24e37d05cd38888656a77e8a6a6cb4852677357db9d82f8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</si>
  <si>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'194ec3897deb4004bc6739dce4407c60', 'MLFLOW_TRACKING_USERNAME': 'sunwu', 'MLFLOW_TRACKING_PASSWORD': 'xxxxx', 'MLFLOW_TRACKING_URI': 'http://192.168.10.61:5000', 'MLFLOW_EXPERIMENT_ID': '32', 'KMP_DUPLICATE_LIB_OK': 'True', 'KMP_INIT_AT_FORK': 'FALSE', 'TRAIN_START': '1778981838781076660', 'TORCHINDUCTOR_CACHE_DIR': '/tmp/torchinductor_root', 'TRAIN_END': '1778982441145750675', 'TEST_START': '1778982441145810449', 'TEST_END': '1778982447220100857'}</t>
  </si>
  <si>
    <t>483e5d9f5c884d16bf41546c6191b0a5</t>
  </si>
  <si>
    <t>mlflow-artifacts:/32/483e5d9f5c884d16bf41546c6191b0a5/artifacts</t>
  </si>
  <si>
    <t>2026-05-17 01:36:30.565000+00:00</t>
  </si>
  <si>
    <t>2026-05-17 01:36:35.480000+00:00</t>
  </si>
  <si>
    <t>run.py --task_name classification --is_training 1 --root_path ./dataset/FaceDetection/ --model_id FaceDetection --model TimesNet --data UEA --e_layers 3 --batch_size 32 --d_model 128 --d_ff 256 --top_k 3 --des Exp --itr 1 --learning_rate 0.001 --train_epochs 1000 --patience 10 --seed 123 --id 4620e30243aad1c87143214bc5157fa017844873c9f17ecab5fa26b85e78c3a7</t>
  </si>
  <si>
    <t>4620e30243aad1c87143214bc5157fa017844873c9f17ecab5fa26b85e78c3a7</t>
  </si>
  <si>
    <t>Namespace(task_name='classification', is_training=1, model_id='FaceDetection', model='TimesNet',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id='4620e30243aad1c87143214bc5157fa017844873c9f17ecab5fa26b85e78c3a7', device=device(type='cuda', index=0), num_class=2)</t>
  </si>
  <si>
    <t>classification_FaceDetection_TimesNet_UEA_ftM_sl62_ll48_pl0_dm128_nh8_el3_dl1_df256_expand2_dc4_fc1_ebtimeF_dtTrue_Exp_04620e30243aad1c87143214bc5157fa017844873c9f17ecab5fa26b85e78c3a7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</si>
  <si>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'70da142aff654ba4ac778d2ee0dec315', 'MLFLOW_TRACKING_USERNAME': 'sunwu', 'MLFLOW_TRACKING_PASSWORD': 'xxxxx', 'MLFLOW_TRACKING_URI': 'http://192.168.10.61:5000', 'MLFLOW_EXPERIMENT_ID': '32', 'KMP_DUPLICATE_LIB_OK': 'True', 'KMP_INIT_AT_FORK': 'FALSE', 'TRAIN_START': '1778979347645182111', 'TORCHINDUCTOR_CACHE_DIR': '/tmp/torchinductor_root', 'TRAIN_END': '1778981563492226402', 'TEST_START': '1778981563492273418', 'TEST_END': '1778981790501766211'}</t>
  </si>
  <si>
    <t>1a11f73d5182441da8498eec3062d95d</t>
  </si>
  <si>
    <t>mlflow-artifacts:/32/1a11f73d5182441da8498eec3062d95d/artifacts</t>
  </si>
  <si>
    <t>2026-05-17 01:35:31.022000+00:00</t>
  </si>
  <si>
    <t>2026-05-17 01:35:35.315000+00:00</t>
  </si>
  <si>
    <t>run.py --task_name classification --is_training 1 --root_path ./dataset/JapaneseVowels/ --model_id JapaneseVowels --model TimesNet --data UEA --e_layers 3 --batch_size 32 --d_model 128 --d_ff 256 --top_k 3 --des Exp --itr 1 --learning_rate 0.001 --train_epochs 1000 --patience 10 --seed 123 --id 25e77d9eb89cb16578211906ea1a60cda0362474ff3af9b91ca37c2543449144</t>
  </si>
  <si>
    <t>25e77d9eb89cb16578211906ea1a60cda0362474ff3af9b91ca37c2543449144</t>
  </si>
  <si>
    <t>Namespace(task_name='classification', is_training=1, model_id='JapaneseVowels', model='TimesNet',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id='25e77d9eb89cb16578211906ea1a60cda0362474ff3af9b91ca37c2543449144', device=device(type='cuda', index=0), num_class=9)</t>
  </si>
  <si>
    <t>classification_JapaneseVowels_TimesNet_UEA_ftM_sl29_ll48_pl0_dm128_nh8_el3_dl1_df256_expand2_dc4_fc1_ebtimeF_dtTrue_Exp_025e77d9eb89cb16578211906ea1a60cda0362474ff3af9b91ca37c2543449144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</si>
  <si>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'73db66479608405e982be5bcc6fc2b40', 'MLFLOW_TRACKING_USERNAME': 'sunwu', 'MLFLOW_TRACKING_PASSWORD': 'xxxxx', 'MLFLOW_TRACKING_URI': 'http://192.168.10.61:5000', 'MLFLOW_EXPERIMENT_ID': '32', 'KMP_DUPLICATE_LIB_OK': 'True', 'KMP_INIT_AT_FORK': 'FALSE', 'TRAIN_START': '1778981137968070882', 'TORCHINDUCTOR_CACHE_DIR': '/tmp/torchinductor_root', 'TRAIN_END': '1778981728069924113', 'TEST_START': '1778981728069974973', 'TEST_END': '1778981730970399577'}</t>
  </si>
  <si>
    <t>686c634799f0498a83a250b224490fdf</t>
  </si>
  <si>
    <t>mlflow-artifacts:/32/686c634799f0498a83a250b224490fdf/artifacts</t>
  </si>
  <si>
    <t>2026-05-17 01:24:19.493000+00:00</t>
  </si>
  <si>
    <t>2026-05-17 01:24:31.701000+00:00</t>
  </si>
  <si>
    <t>run.py --task_name classification --is_training 1 --root_path ./dataset/Heartbeat/ --model_id Heartbeat --model TimesNet --data UEA --e_layers 3 --batch_size 32 --d_model 128 --d_ff 256 --top_k 3 --des Exp --itr 1 --learning_rate 0.001 --train_epochs 1000 --patience 10 --seed 123 --id 09481fb5d6776fe5272ca7dfe80785fe5bf76d601eab4e6ea92605e5fb0ae868</t>
  </si>
  <si>
    <t>09481fb5d6776fe5272ca7dfe80785fe5bf76d601eab4e6ea92605e5fb0ae868</t>
  </si>
  <si>
    <t>Namespace(task_name='classification', is_training=1, model_id='Heartbeat', model='TimesNet',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id='09481fb5d6776fe5272ca7dfe80785fe5bf76d601eab4e6ea92605e5fb0ae868', device=device(type='cuda', index=0), num_class=2)</t>
  </si>
  <si>
    <t>classification_Heartbeat_TimesNet_UEA_ftM_sl405_ll48_pl0_dm128_nh8_el3_dl1_df256_expand2_dc4_fc1_ebtimeF_dtTrue_Exp_009481fb5d6776fe5272ca7dfe80785fe5bf76d601eab4e6ea92605e5fb0ae868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</si>
  <si>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'45038e99c41946b993a03c058c922600', 'MLFLOW_TRACKING_USERNAME': 'sunwu', 'MLFLOW_TRACKING_PASSWORD': 'xxxxx', 'MLFLOW_TRACKING_URI': 'http://192.168.10.61:5000', 'MLFLOW_EXPERIMENT_ID': '32', 'KMP_DUPLICATE_LIB_OK': 'True', 'KMP_INIT_AT_FORK': 'FALSE', 'TRAIN_START': '1778980432279768685', 'TORCHINDUCTOR_CACHE_DIR': '/tmp/torchinductor_root', 'TRAIN_END': '1778981024289782017', 'TEST_START': '1778981024289913251', 'TEST_END': '1778981059132650368'}</t>
  </si>
  <si>
    <t>aecaba44c072476bb3797be87039f4be</t>
  </si>
  <si>
    <t>mlflow-artifacts:/32/aecaba44c072476bb3797be87039f4be/artifacts</t>
  </si>
  <si>
    <t>2026-05-17 01:10:13.698000+00:00</t>
  </si>
  <si>
    <t>2026-05-17 01:10:17.978000+00:00</t>
  </si>
  <si>
    <t>run.py --task_name classification --is_training 1 --root_path ./dataset/Handwriting/ --model_id Handwriting --model TimesNet --data UEA --e_layers 3 --batch_size 32 --d_model 128 --d_ff 256 --top_k 3 --des Exp --itr 1 --learning_rate 0.001 --train_epochs 1000 --patience 10 --seed 123 --id a0e90ef0ba6636b0e5fe0f548b5bc02b551dfd1ff42589cc287be84b60615b5b</t>
  </si>
  <si>
    <t>a0e90ef0ba6636b0e5fe0f548b5bc02b551dfd1ff42589cc287be84b60615b5b</t>
  </si>
  <si>
    <t>Namespace(task_name='classification', is_training=1, model_id='Handwriting', model='TimesNet',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id='a0e90ef0ba6636b0e5fe0f548b5bc02b551dfd1ff42589cc287be84b60615b5b', device=device(type='cuda', index=0), num_class=26)</t>
  </si>
  <si>
    <t>classification_Handwriting_TimesNet_UEA_ftM_sl152_ll48_pl0_dm128_nh8_el3_dl1_df256_expand2_dc4_fc1_ebtimeF_dtTrue_Exp_0a0e90ef0ba6636b0e5fe0f548b5bc02b551dfd1ff42589cc287be84b60615b5b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</si>
  <si>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'bb49a7702621497b9d4d93006f64cfa7', 'MLFLOW_TRACKING_USERNAME': 'sunwu', 'MLFLOW_TRACKING_PASSWORD': 'xxxxx', 'MLFLOW_TRACKING_URI': 'http://192.168.10.61:5000', 'MLFLOW_EXPERIMENT_ID': '32', 'KMP_DUPLICATE_LIB_OK': 'True', 'KMP_INIT_AT_FORK': 'FALSE', 'TRAIN_START': '1778979000491027716', 'TORCHINDUCTOR_CACHE_DIR': '/tmp/torchinductor_root', 'TRAIN_END': '1778980188232903603', 'TEST_START': '1778980188232949937', 'TEST_END': '1778980213192083497'}</t>
  </si>
  <si>
    <t>f1fa635d96cb4a71ad00e6f9e0cb0012</t>
  </si>
  <si>
    <t>mlflow-artifacts:/32/f1fa635d96cb4a71ad00e6f9e0cb0012/artifacts</t>
  </si>
  <si>
    <t>2026-05-17 00:49:46.066000+00:00</t>
  </si>
  <si>
    <t>2026-05-17 00:49:49.316000+00:00</t>
  </si>
  <si>
    <t>run.py --task_name classification --is_training 1 --root_path ./dataset/EthanolConcentration/ --model_id EthanolConcentration --model TimesNet --data UEA --e_layers 3 --batch_size 32 --d_model 128 --d_ff 256 --top_k 3 --des Exp --itr 1 --learning_rate 0.001 --train_epochs 1000 --patience 10 --seed 123 --id 2f5ad7d061a2c6deea1b2052a236bfa4396c8f6c73729c0d3b0b9d4d4b396a25</t>
  </si>
  <si>
    <t>2f5ad7d061a2c6deea1b2052a236bfa4396c8f6c73729c0d3b0b9d4d4b396a25</t>
  </si>
  <si>
    <t>Namespace(task_name='classification', is_training=1, model_id='EthanolConcentration', model='TimesNet',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id='2f5ad7d061a2c6deea1b2052a236bfa4396c8f6c73729c0d3b0b9d4d4b396a25', device=device(type='cuda', index=0), num_class=4)</t>
  </si>
  <si>
    <t>classification_EthanolConcentration_TimesNet_UEA_ftM_sl1751_ll48_pl0_dm128_nh8_el3_dl1_df256_expand2_dc4_fc1_ebtimeF_dtTrue_Exp_02f5ad7d061a2c6deea1b2052a236bfa4396c8f6c73729c0d3b0b9d4d4b396a25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</si>
  <si>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'81c58414df2e497fa48688031af3dd1b', 'MLFLOW_TRACKING_USERNAME': 'sunwu', 'MLFLOW_TRACKING_PASSWORD': 'xxxxx', 'MLFLOW_TRACKING_URI': 'http://192.168.10.61:5000', 'MLFLOW_EXPERIMENT_ID': '32', 'KMP_DUPLICATE_LIB_OK': 'True', 'KMP_INIT_AT_FORK': 'FALSE', 'TRAIN_START': '1778978464787003800', 'TORCHINDUCTOR_CACHE_DIR': '/tmp/torchinductor_root', 'TRAIN_END': '1778978977471151783', 'TEST_START': '1778978977471199578', 'TEST_END': '1778978986017553209'}</t>
  </si>
  <si>
    <t>58d928924cc44265814460e1f10f15f7</t>
  </si>
  <si>
    <t>mlflow-artifacts:/32/58d928924cc44265814460e1f10f15f7/artifacts</t>
  </si>
  <si>
    <t>2026-05-17 00:41:32.788000+00:00</t>
  </si>
  <si>
    <t>2026-05-17 00:41:36.223000+00:00</t>
  </si>
  <si>
    <t>run.py --task_name classification --is_training 1 --root_path ./dataset/PEMS-SF/ --model_id PEMS-SF --model TimesNet --data UEA --e_layers 3 --batch_size 32 --d_model 128 --d_ff 256 --top_k 3 --des Exp --itr 1 --learning_rate 0.001 --train_epochs 1000 --patience 10 --seed 42 --id 8ea4db3a7f2581e84876cc41df15a9d96fcad877c5b22dde828ad255c47f6d24</t>
  </si>
  <si>
    <t>8ea4db3a7f2581e84876cc41df15a9d96fcad877c5b22dde828ad255c47f6d24</t>
  </si>
  <si>
    <t>Namespace(task_name='classification', is_training=1, model_id='PEMS-SF', model='TimesNet',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id='8ea4db3a7f2581e84876cc41df15a9d96fcad877c5b22dde828ad255c47f6d24', device=device(type='cuda', index=0), num_class=7)</t>
  </si>
  <si>
    <t>classification_PEMS-SF_TimesNet_UEA_ftM_sl144_ll48_pl0_dm128_nh8_el3_dl1_df256_expand2_dc4_fc1_ebtimeF_dtTrue_Exp_08ea4db3a7f2581e84876cc41df15a9d96fcad877c5b22dde828ad255c47f6d24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</si>
  <si>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'5b38b6f13c8c4e0a9a5846a60516cc32', 'MLFLOW_TRACKING_USERNAME': 'sunwu', 'MLFLOW_TRACKING_PASSWORD': 'xxxxx', 'MLFLOW_TRACKING_URI': 'http://192.168.10.61:5000', 'MLFLOW_EXPERIMENT_ID': '32', 'KMP_DUPLICATE_LIB_OK': 'True', 'KMP_INIT_AT_FORK': 'FALSE', 'TRAIN_START': '1778977712367552869', 'TORCHINDUCTOR_CACHE_DIR': '/tmp/torchinductor_root', 'TRAIN_END': '1778978450658000294', 'TEST_START': '1778978450658078520', 'TEST_END': '1778978492295357326'}</t>
  </si>
  <si>
    <t>53df5151adc7471795d25023277bf540</t>
  </si>
  <si>
    <t>mlflow-artifacts:/32/53df5151adc7471795d25023277bf540/artifacts</t>
  </si>
  <si>
    <t>2026-05-17 00:40:48.493000+00:00</t>
  </si>
  <si>
    <t>2026-05-17 00:40:51.654000+00:00</t>
  </si>
  <si>
    <t>run.py --task_name classification --is_training 1 --root_path ./dataset/UWaveGestureLibrary/ --model_id UWaveGestureLibrary --model TimesNet --data UEA --e_layers 3 --batch_size 32 --d_model 128 --d_ff 256 --top_k 3 --des Exp --itr 1 --learning_rate 0.001 --train_epochs 1000 --patience 10 --seed 123 --id 197578f23f0440fa13993bcc4d6ab91b0bec828634ea7ec852b450ded8b20b7f</t>
  </si>
  <si>
    <t>197578f23f0440fa13993bcc4d6ab91b0bec828634ea7ec852b450ded8b20b7f</t>
  </si>
  <si>
    <t>Namespace(task_name='classification', is_training=1, model_id='UWaveGestureLibrary', model='TimesNet',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id='197578f23f0440fa13993bcc4d6ab91b0bec828634ea7ec852b450ded8b20b7f', device=device(type='cuda', index=0), num_class=8)</t>
  </si>
  <si>
    <t>classification_UWaveGestureLibrary_TimesNet_UEA_ftM_sl315_ll48_pl0_dm128_nh8_el3_dl1_df256_expand2_dc4_fc1_ebtimeF_dtTrue_Exp_0197578f23f0440fa13993bcc4d6ab91b0bec828634ea7ec852b450ded8b20b7f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</si>
  <si>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'6760e7f01b1848999cd615884dfd7903', 'MLFLOW_TRACKING_USERNAME': 'sunwu', 'MLFLOW_TRACKING_PASSWORD': 'xxxxx', 'MLFLOW_TRACKING_URI': 'http://192.168.10.61:5000', 'MLFLOW_EXPERIMENT_ID': '32', 'KMP_DUPLICATE_LIB_OK': 'True', 'KMP_INIT_AT_FORK': 'FALSE', 'TRAIN_START': '1778978143121234773', 'TORCHINDUCTOR_CACHE_DIR': '/tmp/torchinductor_root', 'TRAIN_END': '1778978444680264907', 'TEST_START': '1778978444680322093', 'TEST_END': '1778978448428731234'}</t>
  </si>
  <si>
    <t>4b239f406ce14a34a784738e52d250e4</t>
  </si>
  <si>
    <t>mlflow-artifacts:/32/4b239f406ce14a34a784738e52d250e4/artifacts</t>
  </si>
  <si>
    <t>2026-05-17 00:35:28.783000+00:00</t>
  </si>
  <si>
    <t>2026-05-17 00:35:32.040000+00:00</t>
  </si>
  <si>
    <t>run.py --task_name classification --is_training 1 --root_path ./dataset/SpokenArabicDigits/ --model_id SpokenArabicDigits --model TimesNet --data UEA --e_layers 3 --batch_size 32 --d_model 128 --d_ff 256 --top_k 3 --des Exp --itr 1 --learning_rate 0.001 --train_epochs 1000 --patience 10 --seed 42 --id 991a35f003ada8ea8f4b64938550b716464ac9edac287c939c3bcb73340c5dc3</t>
  </si>
  <si>
    <t>991a35f003ada8ea8f4b64938550b716464ac9edac287c939c3bcb73340c5dc3</t>
  </si>
  <si>
    <t>Namespace(task_name='classification', is_training=1, model_id='SpokenArabicDigits', model='TimesNet',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id='991a35f003ada8ea8f4b64938550b716464ac9edac287c939c3bcb73340c5dc3', device=device(type='cuda', index=0), num_class=10)</t>
  </si>
  <si>
    <t>classification_SpokenArabicDigits_TimesNet_UEA_ftM_sl93_ll48_pl0_dm128_nh8_el3_dl1_df256_expand2_dc4_fc1_ebtimeF_dtTrue_Exp_0991a35f003ada8ea8f4b64938550b716464ac9edac287c939c3bcb73340c5dc3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</si>
  <si>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'e19fde74a6a24c5dba44bbf2c3086ac6', 'MLFLOW_TRACKING_USERNAME': 'sunwu', 'MLFLOW_TRACKING_PASSWORD': 'xxxxx', 'MLFLOW_TRACKING_URI': 'http://192.168.10.61:5000', 'MLFLOW_EXPERIMENT_ID': '32', 'KMP_DUPLICATE_LIB_OK': 'True', 'KMP_INIT_AT_FORK': 'FALSE', 'TRAIN_START': '1778976478199040917', 'TORCHINDUCTOR_CACHE_DIR': '/tmp/torchinductor_root', 'TRAIN_END': '1778978111650545157', 'TEST_START': '1778978111650613216', 'TEST_END': '1778978128732732611'}</t>
  </si>
  <si>
    <t>c92e3491c6104bf898344d32863025e6</t>
  </si>
  <si>
    <t>mlflow-artifacts:/32/c92e3491c6104bf898344d32863025e6/artifacts</t>
  </si>
  <si>
    <t>2026-05-17 00:07:35.918000+00:00</t>
  </si>
  <si>
    <t>2026-05-17 00:07:40.033000+00:00</t>
  </si>
  <si>
    <t>run.py --task_name classification --is_training 1 --root_path ./dataset/SelfRegulationSCP2/ --model_id SelfRegulationSCP2 --model TimesNet --data UEA --e_layers 3 --batch_size 32 --d_model 128 --d_ff 256 --top_k 3 --des Exp --itr 1 --learning_rate 0.001 --train_epochs 1000 --patience 10 --seed 42 --id 55bbf56ab4abac28373ccfdddfd471b335d7b3e32d1f939bdb0378dd07d13be9</t>
  </si>
  <si>
    <t>55bbf56ab4abac28373ccfdddfd471b335d7b3e32d1f939bdb0378dd07d13be9</t>
  </si>
  <si>
    <t>Namespace(task_name='classification', is_training=1, model_id='SelfRegulationSCP2', model='TimesNet',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id='55bbf56ab4abac28373ccfdddfd471b335d7b3e32d1f939bdb0378dd07d13be9', device=device(type='cuda', index=0), num_class=2)</t>
  </si>
  <si>
    <t>classification_SelfRegulationSCP2_TimesNet_UEA_ftM_sl1152_ll48_pl0_dm128_nh8_el3_dl1_df256_expand2_dc4_fc1_ebtimeF_dtTrue_Exp_055bbf56ab4abac28373ccfdddfd471b335d7b3e32d1f939bdb0378dd07d13be9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</si>
  <si>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'9518c3c3818f4f619eaa6a2659be207f', 'MLFLOW_TRACKING_USERNAME': 'sunwu', 'MLFLOW_TRACKING_PASSWORD': 'xxxxx', 'MLFLOW_TRACKING_URI': 'http://192.168.10.61:5000', 'MLFLOW_EXPERIMENT_ID': '32', 'KMP_DUPLICATE_LIB_OK': 'True', 'KMP_INIT_AT_FORK': 'FALSE', 'TRAIN_START': '1778976294378961295', 'TORCHINDUCTOR_CACHE_DIR': '/tmp/torchinductor_root', 'TRAIN_END': '1778976453075130988', 'TEST_START': '1778976453075171711', 'TEST_END': '1778976455875211519'}</t>
  </si>
  <si>
    <t>e108924a7173437b80e98ea6456a6a13</t>
  </si>
  <si>
    <t>mlflow-artifacts:/32/e108924a7173437b80e98ea6456a6a13/artifacts</t>
  </si>
  <si>
    <t>2026-05-17 00:07:16.472000+00:00</t>
  </si>
  <si>
    <t>2026-05-17 00:07:19.709000+00:00</t>
  </si>
  <si>
    <t>run.py --task_name classification --is_training 1 --root_path ./dataset/FaceDetection/ --model_id FaceDetection --model TimesNet --data UEA --e_layers 3 --batch_size 32 --d_model 128 --d_ff 256 --top_k 3 --des Exp --itr 1 --learning_rate 0.001 --train_epochs 1000 --patience 10 --seed 42 --id 4ff1095879889f3b7eab02d9dd5ca3e7297b9571bd28d44d4f768cb78b65a8c0</t>
  </si>
  <si>
    <t>4ff1095879889f3b7eab02d9dd5ca3e7297b9571bd28d44d4f768cb78b65a8c0</t>
  </si>
  <si>
    <t>Namespace(task_name='classification', is_training=1, model_id='FaceDetection', model='TimesNet',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id='4ff1095879889f3b7eab02d9dd5ca3e7297b9571bd28d44d4f768cb78b65a8c0', device=device(type='cuda', index=0), num_class=2)</t>
  </si>
  <si>
    <t>classification_FaceDetection_TimesNet_UEA_ftM_sl62_ll48_pl0_dm128_nh8_el3_dl1_df256_expand2_dc4_fc1_ebtimeF_dtTrue_Exp_04ff1095879889f3b7eab02d9dd5ca3e7297b9571bd28d44d4f768cb78b65a8c0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</si>
  <si>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'3c7df6c47ca4448aac979ef80774d524', 'MLFLOW_TRACKING_USERNAME': 'sunwu', 'MLFLOW_TRACKING_PASSWORD': 'xxxxx', 'MLFLOW_TRACKING_URI': 'http://192.168.10.61:5000', 'MLFLOW_EXPERIMENT_ID': '32', 'KMP_DUPLICATE_LIB_OK': 'True', 'KMP_INIT_AT_FORK': 'FALSE', 'TRAIN_START': '1778974342581465723', 'TORCHINDUCTOR_CACHE_DIR': '/tmp/torchinductor_root', 'TRAIN_END': '1778976312627994080', 'TEST_START': '1778976312628049456', 'TEST_END': '1778976436409937231'}</t>
  </si>
  <si>
    <t>b6d2e6960eb84025953d68903f34d6f2</t>
  </si>
  <si>
    <t>mlflow-artifacts:/32/b6d2e6960eb84025953d68903f34d6f2/artifacts</t>
  </si>
  <si>
    <t>2026-05-17 00:03:12.891000+00:00</t>
  </si>
  <si>
    <t>2026-05-17 00:03:16.194000+00:00</t>
  </si>
  <si>
    <t>run.py --task_name classification --is_training 1 --root_path ./dataset/SelfRegulationSCP1/ --model_id SelfRegulationSCP1 --model TimesNet --data UEA --e_layers 3 --batch_size 32 --d_model 128 --d_ff 256 --top_k 3 --des Exp --itr 1 --learning_rate 0.001 --train_epochs 1000 --patience 10 --seed 42 --id 33f2542f2fc008bdd91060f26351ae21c7024f8c6d4320261a0ab06f6c4bd7be</t>
  </si>
  <si>
    <t>33f2542f2fc008bdd91060f26351ae21c7024f8c6d4320261a0ab06f6c4bd7be</t>
  </si>
  <si>
    <t>Namespace(task_name='classification', is_training=1, model_id='SelfRegulationSCP1', model='TimesNet',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id='33f2542f2fc008bdd91060f26351ae21c7024f8c6d4320261a0ab06f6c4bd7be', device=device(type='cuda', index=0), num_class=2)</t>
  </si>
  <si>
    <t>classification_SelfRegulationSCP1_TimesNet_UEA_ftM_sl896_ll48_pl0_dm128_nh8_el3_dl1_df256_expand2_dc4_fc1_ebtimeF_dtTrue_Exp_033f2542f2fc008bdd91060f26351ae21c7024f8c6d4320261a0ab06f6c4bd7be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</si>
  <si>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'f30f9fa39fd441378d6b636b695a2e1e', 'MLFLOW_TRACKING_USERNAME': 'sunwu', 'MLFLOW_TRACKING_PASSWORD': 'xxxxx', 'MLFLOW_TRACKING_URI': 'http://192.168.10.61:5000', 'MLFLOW_EXPERIMENT_ID': '32', 'KMP_DUPLICATE_LIB_OK': 'True', 'KMP_INIT_AT_FORK': 'FALSE', 'TRAIN_START': '1778975806987348384', 'TORCHINDUCTOR_CACHE_DIR': '/tmp/torchinductor_root', 'TRAIN_END': '1778976177045885516', 'TEST_START': '1778976177045936202', 'TEST_END': '1778976192399652761'}</t>
  </si>
  <si>
    <t>571c98b7a9a44b82961d9e0702e6e32d</t>
  </si>
  <si>
    <t>mlflow-artifacts:/32/571c98b7a9a44b82961d9e0702e6e32d/artifacts</t>
  </si>
  <si>
    <t>2026-05-16 23:55:11.286000+00:00</t>
  </si>
  <si>
    <t>2026-05-16 23:55:15.244000+00:00</t>
  </si>
  <si>
    <t>run.py --task_name classification --is_training 1 --root_path ./dataset/JapaneseVowels/ --model_id JapaneseVowels --model TimesNet --data UEA --e_layers 3 --batch_size 32 --d_model 128 --d_ff 256 --top_k 3 --des Exp --itr 1 --learning_rate 0.001 --train_epochs 1000 --patience 10 --seed 42 --id c2449e93ae4f09b506b2862849a8100f6b79a93d1df220aea2d56a05b9a4c09e</t>
  </si>
  <si>
    <t>c2449e93ae4f09b506b2862849a8100f6b79a93d1df220aea2d56a05b9a4c09e</t>
  </si>
  <si>
    <t>Namespace(task_name='classification', is_training=1, model_id='JapaneseVowels', model='TimesNet',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id='c2449e93ae4f09b506b2862849a8100f6b79a93d1df220aea2d56a05b9a4c09e', device=device(type='cuda', index=0), num_class=9)</t>
  </si>
  <si>
    <t>classification_JapaneseVowels_TimesNet_UEA_ftM_sl29_ll48_pl0_dm128_nh8_el3_dl1_df256_expand2_dc4_fc1_ebtimeF_dtTrue_Exp_0c2449e93ae4f09b506b2862849a8100f6b79a93d1df220aea2d56a05b9a4c09e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</si>
  <si>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'804e0b0cd5ca495aae87cc3b0891767a', 'MLFLOW_TRACKING_USERNAME': 'sunwu', 'MLFLOW_TRACKING_PASSWORD': 'xxxxx', 'MLFLOW_TRACKING_URI': 'http://192.168.10.61:5000', 'MLFLOW_EXPERIMENT_ID': '32', 'KMP_DUPLICATE_LIB_OK': 'True', 'KMP_INIT_AT_FORK': 'FALSE', 'TRAIN_START': '1778974968085794324', 'TORCHINDUCTOR_CACHE_DIR': '/tmp/torchinductor_root', 'TRAIN_END': '1778975695585401701', 'TEST_START': '1778975695585536680', 'TEST_END': '1778975710702325568'}</t>
  </si>
  <si>
    <t>bf19213aaba845aaa5b9fe9257213051</t>
  </si>
  <si>
    <t>mlflow-artifacts:/32/bf19213aaba845aaa5b9fe9257213051/artifacts</t>
  </si>
  <si>
    <t>2026-05-16 23:42:25.998000+00:00</t>
  </si>
  <si>
    <t>2026-05-16 23:42:29.105000+00:00</t>
  </si>
  <si>
    <t>run.py --task_name classification --is_training 1 --root_path ./dataset/Heartbeat/ --model_id Heartbeat --model TimesNet --data UEA --e_layers 3 --batch_size 32 --d_model 128 --d_ff 256 --top_k 3 --des Exp --itr 1 --learning_rate 0.001 --train_epochs 1000 --patience 10 --seed 42 --id b07b81249f320facb599ccad365f35b6a173fe3c42e875f06ff50a32ee8f862e</t>
  </si>
  <si>
    <t>b07b81249f320facb599ccad365f35b6a173fe3c42e875f06ff50a32ee8f862e</t>
  </si>
  <si>
    <t>Namespace(task_name='classification', is_training=1, model_id='Heartbeat', model='TimesNet',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id='b07b81249f320facb599ccad365f35b6a173fe3c42e875f06ff50a32ee8f862e', device=device(type='cuda', index=0), num_class=2)</t>
  </si>
  <si>
    <t>classification_Heartbeat_TimesNet_UEA_ftM_sl405_ll48_pl0_dm128_nh8_el3_dl1_df256_expand2_dc4_fc1_ebtimeF_dtTrue_Exp_0b07b81249f320facb599ccad365f35b6a173fe3c42e875f06ff50a32ee8f862e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</si>
  <si>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'45a69aeb4f8049a4b504ed7394dc9a4c', 'MLFLOW_TRACKING_USERNAME': 'sunwu', 'MLFLOW_TRACKING_PASSWORD': 'xxxxx', 'MLFLOW_TRACKING_URI': 'http://192.168.10.61:5000', 'MLFLOW_EXPERIMENT_ID': '32', 'KMP_DUPLICATE_LIB_OK': 'True', 'KMP_INIT_AT_FORK': 'FALSE', 'TRAIN_START': '1778974801738678276', 'TORCHINDUCTOR_CACHE_DIR': '/tmp/torchinductor_root', 'TRAIN_END': '1778974940068566898', 'TEST_START': '1778974940068637417', 'TEST_END': '1778974945937627740'}</t>
  </si>
  <si>
    <t>c22c07010e254a658bcf7af1cc8f0f63</t>
  </si>
  <si>
    <t>mlflow-artifacts:/32/c22c07010e254a658bcf7af1cc8f0f63/artifacts</t>
  </si>
  <si>
    <t>2026-05-16 23:39:25.704000+00:00</t>
  </si>
  <si>
    <t>2026-05-16 23:39:33.178000+00:00</t>
  </si>
  <si>
    <t>run.py --task_name classification --is_training 1 --root_path ./dataset/Handwriting/ --model_id Handwriting --model TimesNet --data UEA --e_layers 3 --batch_size 32 --d_model 128 --d_ff 256 --top_k 3 --des Exp --itr 1 --learning_rate 0.001 --train_epochs 1000 --patience 10 --seed 42 --id b9b667b57aab5220de9cd8da649c631b714442dc11d31f31a26fb4e17200114c</t>
  </si>
  <si>
    <t>b9b667b57aab5220de9cd8da649c631b714442dc11d31f31a26fb4e17200114c</t>
  </si>
  <si>
    <t>Namespace(task_name='classification', is_training=1, model_id='Handwriting', model='TimesNet',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id='b9b667b57aab5220de9cd8da649c631b714442dc11d31f31a26fb4e17200114c', device=device(type='cuda', index=0), num_class=26)</t>
  </si>
  <si>
    <t>classification_Handwriting_TimesNet_UEA_ftM_sl152_ll48_pl0_dm128_nh8_el3_dl1_df256_expand2_dc4_fc1_ebtimeF_dtTrue_Exp_0b9b667b57aab5220de9cd8da649c631b714442dc11d31f31a26fb4e17200114c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</si>
  <si>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'421a8dac86b548ab913dd4eb502d5781', 'MLFLOW_TRACKING_USERNAME': 'sunwu', 'MLFLOW_TRACKING_PASSWORD': 'xxxxx', 'MLFLOW_TRACKING_URI': 'http://192.168.10.61:5000', 'MLFLOW_EXPERIMENT_ID': '32', 'KMP_DUPLICATE_LIB_OK': 'True', 'KMP_INIT_AT_FORK': 'FALSE', 'TRAIN_START': '1778974261542119243', 'TORCHINDUCTOR_CACHE_DIR': '/tmp/torchinductor_root', 'TRAIN_END': '1778974758168885753', 'TEST_START': '1778974758168935942', 'TEST_END': '1778974765642002147'}</t>
  </si>
  <si>
    <t>875d0a2a120f4006a7a2b9842d78803b</t>
  </si>
  <si>
    <t>mlflow-artifacts:/32/875d0a2a120f4006a7a2b9842d78803b/artifacts</t>
  </si>
  <si>
    <t>2026-05-16 23:30:47.686000+00:00</t>
  </si>
  <si>
    <t>2026-05-16 23:30:50.871000+00:00</t>
  </si>
  <si>
    <t>run.py --task_name classification --is_training 1 --root_path ./dataset/EthanolConcentration/ --model_id EthanolConcentration --model TimesNet --data UEA --e_layers 3 --batch_size 32 --d_model 128 --d_ff 256 --top_k 3 --des Exp --itr 1 --learning_rate 0.001 --train_epochs 1000 --patience 10 --seed 42 --id 92f7a35c54b5d0edf5736ac94d13538356092711e166966814735d4f1120d4e5</t>
  </si>
  <si>
    <t>92f7a35c54b5d0edf5736ac94d13538356092711e166966814735d4f1120d4e5</t>
  </si>
  <si>
    <t>Namespace(task_name='classification', is_training=1, model_id='EthanolConcentration', model='TimesNet',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id='92f7a35c54b5d0edf5736ac94d13538356092711e166966814735d4f1120d4e5', device=device(type='cuda', index=0), num_class=4)</t>
  </si>
  <si>
    <t>classification_EthanolConcentration_TimesNet_UEA_ftM_sl1751_ll48_pl0_dm128_nh8_el3_dl1_df256_expand2_dc4_fc1_ebtimeF_dtTrue_Exp_092f7a35c54b5d0edf5736ac94d13538356092711e166966814735d4f1120d4e5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</si>
  <si>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'f03fd367ebf645b5a8b7c99d0e27ed9a', 'MLFLOW_TRACKING_USERNAME': 'sunwu', 'MLFLOW_TRACKING_PASSWORD': 'xxxxx', 'MLFLOW_TRACKING_URI': 'http://192.168.10.61:5000', 'MLFLOW_EXPERIMENT_ID': '32', 'KMP_DUPLICATE_LIB_OK': 'True', 'KMP_INIT_AT_FORK': 'FALSE', 'TRAIN_START': '1778973556288465690', 'TORCHINDUCTOR_CACHE_DIR': '/tmp/torchinductor_root', 'TRAIN_END': '1778974239036186944', 'TEST_START': '1778974239036229352', 'TEST_END': '1778974247632304147'}</t>
  </si>
  <si>
    <t>b399d82bae4f44f79692d063843e3482</t>
  </si>
  <si>
    <t>mlflow-artifacts:/32/b399d82bae4f44f79692d063843e3482/artifacts</t>
  </si>
  <si>
    <t>2026-05-16 23:19:34.629000+00:00</t>
  </si>
  <si>
    <t>2026-05-16 23:19:37.880000+00:00</t>
  </si>
  <si>
    <t>run.py --task_name classification --is_training 1 --root_path ./dataset/PEMS-SF/ --model_id PEMS-SF --model TimesNet --data UEA --e_layers 3 --batch_size 32 --d_model 128 --d_ff 256 --top_k 3 --des Exp --itr 1 --learning_rate 0.001 --train_epochs 1000 --patience 10 --seed 7 --id c5b5e04f7c01ccfe0f61bdb1516a4d1a33c4f9a2f9f61a9c2c01c321b98149e9</t>
  </si>
  <si>
    <t>c5b5e04f7c01ccfe0f61bdb1516a4d1a33c4f9a2f9f61a9c2c01c321b98149e9</t>
  </si>
  <si>
    <t>Namespace(task_name='classification', is_training=1, model_id='PEMS-SF', model='TimesNet',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id='c5b5e04f7c01ccfe0f61bdb1516a4d1a33c4f9a2f9f61a9c2c01c321b98149e9', device=device(type='cuda', index=0), num_class=7)</t>
  </si>
  <si>
    <t>classification_PEMS-SF_TimesNet_UEA_ftM_sl144_ll48_pl0_dm128_nh8_el3_dl1_df256_expand2_dc4_fc1_ebtimeF_dtTrue_Exp_0c5b5e04f7c01ccfe0f61bdb1516a4d1a33c4f9a2f9f61a9c2c01c321b98149e9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</si>
  <si>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'3f9b433079114c9784ead70093be56fc', 'MLFLOW_TRACKING_USERNAME': 'sunwu', 'MLFLOW_TRACKING_PASSWORD': 'xxxxx', 'MLFLOW_TRACKING_URI': 'http://192.168.10.61:5000', 'MLFLOW_EXPERIMENT_ID': '32', 'KMP_DUPLICATE_LIB_OK': 'True', 'KMP_INIT_AT_FORK': 'FALSE', 'TRAIN_START': '1778972207905030986', 'TORCHINDUCTOR_CACHE_DIR': '/tmp/torchinductor_root', 'TRAIN_END': '1778973536519052355', 'TEST_START': '1778973536519134374', 'TEST_END': '1778973574577423234'}</t>
  </si>
  <si>
    <t>875ddfdb0580491a90c5f1dab0e67626</t>
  </si>
  <si>
    <t>mlflow-artifacts:/32/875ddfdb0580491a90c5f1dab0e67626/artifacts</t>
  </si>
  <si>
    <t>2026-05-16 23:18:59.988000+00:00</t>
  </si>
  <si>
    <t>2026-05-16 23:19:03.125000+00:00</t>
  </si>
  <si>
    <t>run.py --task_name classification --is_training 1 --root_path ./dataset/UWaveGestureLibrary/ --model_id UWaveGestureLibrary --model TimesNet --data UEA --e_layers 3 --batch_size 32 --d_model 128 --d_ff 256 --top_k 3 --des Exp --itr 1 --learning_rate 0.001 --train_epochs 1000 --patience 10 --seed 42 --id d07347555bb6af3035fc9f5e1540f808148abda9a8cce9b0bb621123d686e47b</t>
  </si>
  <si>
    <t>d07347555bb6af3035fc9f5e1540f808148abda9a8cce9b0bb621123d686e47b</t>
  </si>
  <si>
    <t>Namespace(task_name='classification', is_training=1, model_id='UWaveGestureLibrary', model='TimesNet',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id='d07347555bb6af3035fc9f5e1540f808148abda9a8cce9b0bb621123d686e47b', device=device(type='cuda', index=0), num_class=8)</t>
  </si>
  <si>
    <t>classification_UWaveGestureLibrary_TimesNet_UEA_ftM_sl315_ll48_pl0_dm128_nh8_el3_dl1_df256_expand2_dc4_fc1_ebtimeF_dtTrue_Exp_0d07347555bb6af3035fc9f5e1540f808148abda9a8cce9b0bb621123d686e47b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</si>
  <si>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'7759df5ba1b046be98be5912a63b4005', 'MLFLOW_TRACKING_USERNAME': 'sunwu', 'MLFLOW_TRACKING_PASSWORD': 'xxxxx', 'MLFLOW_TRACKING_URI': 'http://192.168.10.61:5000', 'MLFLOW_EXPERIMENT_ID': '32', 'KMP_DUPLICATE_LIB_OK': 'True', 'KMP_INIT_AT_FORK': 'FALSE', 'TRAIN_START': '1778973258173691093', 'TORCHINDUCTOR_CACHE_DIR': '/tmp/torchinductor_root', 'TRAIN_END': '1778973536102198331', 'TEST_START': '1778973536102254025', 'TEST_END': '1778973539922232237'}</t>
  </si>
  <si>
    <t>02de0b835c564153beeaf9001e410eee</t>
  </si>
  <si>
    <t>mlflow-artifacts:/32/02de0b835c564153beeaf9001e410eee/artifacts</t>
  </si>
  <si>
    <t>2026-05-16 23:14:04.701000+00:00</t>
  </si>
  <si>
    <t>2026-05-16 23:14:08.093000+00:00</t>
  </si>
  <si>
    <t>run.py --task_name classification --is_training 1 --root_path ./dataset/SpokenArabicDigits/ --model_id SpokenArabicDigits --model TimesNet --data UEA --e_layers 3 --batch_size 32 --d_model 128 --d_ff 256 --top_k 3 --des Exp --itr 1 --learning_rate 0.001 --train_epochs 1000 --patience 10 --seed 7 --id 06de48ebf534c3e0aea48f4dcae7b3c02b6133e54cb30b9cc00640464652887f</t>
  </si>
  <si>
    <t>06de48ebf534c3e0aea48f4dcae7b3c02b6133e54cb30b9cc00640464652887f</t>
  </si>
  <si>
    <t>Namespace(task_name='classification', is_training=1, model_id='SpokenArabicDigits', model='TimesNet',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id='06de48ebf534c3e0aea48f4dcae7b3c02b6133e54cb30b9cc00640464652887f', device=device(type='cuda', index=0), num_class=10)</t>
  </si>
  <si>
    <t>classification_SpokenArabicDigits_TimesNet_UEA_ftM_sl93_ll48_pl0_dm128_nh8_el3_dl1_df256_expand2_dc4_fc1_ebtimeF_dtTrue_Exp_006de48ebf534c3e0aea48f4dcae7b3c02b6133e54cb30b9cc00640464652887f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</si>
  <si>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'55ceecb467024b3a9f1805495b0025cc', 'MLFLOW_TRACKING_USERNAME': 'sunwu', 'MLFLOW_TRACKING_PASSWORD': 'xxxxx', 'MLFLOW_TRACKING_URI': 'http://192.168.10.61:5000', 'MLFLOW_EXPERIMENT_ID': '32', 'KMP_DUPLICATE_LIB_OK': 'True', 'KMP_INIT_AT_FORK': 'FALSE', 'TRAIN_START': '1778970701386386438', 'TORCHINDUCTOR_CACHE_DIR': '/tmp/torchinductor_root', 'TRAIN_END': '1778973227868404932', 'TEST_START': '1778973227868457097', 'TEST_END': '1778973244650321106'}</t>
  </si>
  <si>
    <t>51b0fcdea46e4605baff73554f42d527</t>
  </si>
  <si>
    <t>mlflow-artifacts:/32/51b0fcdea46e4605baff73554f42d527/artifacts</t>
  </si>
  <si>
    <t>2026-05-16 22:34:49.985000+00:00</t>
  </si>
  <si>
    <t>2026-05-16 22:34:53.249000+00:00</t>
  </si>
  <si>
    <t>run.py --task_name classification --is_training 1 --root_path ./dataset/SelfRegulationSCP2/ --model_id SelfRegulationSCP2 --model TimesNet --data UEA --e_layers 3 --batch_size 32 --d_model 128 --d_ff 256 --top_k 3 --des Exp --itr 1 --learning_rate 0.001 --train_epochs 1000 --patience 10 --seed 7 --id dc685ba0fee7bb2ddb4ad777db254ad1c3dfadd5de7ccf9376e5329c80243ae9</t>
  </si>
  <si>
    <t>dc685ba0fee7bb2ddb4ad777db254ad1c3dfadd5de7ccf9376e5329c80243ae9</t>
  </si>
  <si>
    <t>Namespace(task_name='classification', is_training=1, model_id='SelfRegulationSCP2', model='TimesNet',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id='dc685ba0fee7bb2ddb4ad777db254ad1c3dfadd5de7ccf9376e5329c80243ae9', device=device(type='cuda', index=0), num_class=2)</t>
  </si>
  <si>
    <t>classification_SelfRegulationSCP2_TimesNet_UEA_ftM_sl1152_ll48_pl0_dm128_nh8_el3_dl1_df256_expand2_dc4_fc1_ebtimeF_dtTrue_Exp_0dc685ba0fee7bb2ddb4ad777db254ad1c3dfadd5de7ccf9376e5329c80243ae9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</si>
  <si>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'050260b714d9403da1536005769ad774', 'MLFLOW_TRACKING_USERNAME': 'sunwu', 'MLFLOW_TRACKING_PASSWORD': 'xxxxx', 'MLFLOW_TRACKING_URI': 'http://192.168.10.61:5000', 'MLFLOW_EXPERIMENT_ID': '32', 'KMP_DUPLICATE_LIB_OK': 'True', 'KMP_INIT_AT_FORK': 'FALSE', 'TRAIN_START': '1778970658305280468', 'TORCHINDUCTOR_CACHE_DIR': '/tmp/torchinductor_root', 'TRAIN_END': '1778970878905556364', 'TEST_START': '1778970878905640079', 'TEST_END': '1778970889900379185'}</t>
  </si>
  <si>
    <t>eb83bdd04a15477eb32701bd8fc65e23</t>
  </si>
  <si>
    <t>mlflow-artifacts:/32/eb83bdd04a15477eb32701bd8fc65e23/artifacts</t>
  </si>
  <si>
    <t>2026-05-16 22:30:54.698000+00:00</t>
  </si>
  <si>
    <t>2026-05-16 22:30:57.768000+00:00</t>
  </si>
  <si>
    <t>run.py --task_name classification --is_training 1 --root_path ./dataset/JapaneseVowels/ --model_id JapaneseVowels --model TimesNet --data UEA --e_layers 3 --batch_size 32 --d_model 128 --d_ff 256 --top_k 3 --des Exp --itr 1 --learning_rate 0.001 --train_epochs 1000 --patience 10 --seed 7 --id ad94efc7fab72b05bf44eaec6dc3186e0f9db574dc634c0b0b487522910ee336</t>
  </si>
  <si>
    <t>ad94efc7fab72b05bf44eaec6dc3186e0f9db574dc634c0b0b487522910ee336</t>
  </si>
  <si>
    <t>Namespace(task_name='classification', is_training=1, model_id='JapaneseVowels', model='TimesNet',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id='ad94efc7fab72b05bf44eaec6dc3186e0f9db574dc634c0b0b487522910ee336', device=device(type='cuda', index=0), num_class=9)</t>
  </si>
  <si>
    <t>classification_JapaneseVowels_TimesNet_UEA_ftM_sl29_ll48_pl0_dm128_nh8_el3_dl1_df256_expand2_dc4_fc1_ebtimeF_dtTrue_Exp_0ad94efc7fab72b05bf44eaec6dc3186e0f9db574dc634c0b0b487522910ee336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</si>
  <si>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'ea610b91bd9445a580b53dc3d520898f', 'MLFLOW_TRACKING_USERNAME': 'sunwu', 'MLFLOW_TRACKING_PASSWORD': 'xxxxx', 'MLFLOW_TRACKING_URI': 'http://192.168.10.61:5000', 'MLFLOW_EXPERIMENT_ID': '32', 'KMP_DUPLICATE_LIB_OK': 'True', 'KMP_INIT_AT_FORK': 'FALSE', 'TRAIN_START': '1778970196784666231', 'TORCHINDUCTOR_CACHE_DIR': '/tmp/torchinductor_root', 'TRAIN_END': '1778970651893546450', 'TEST_START': '1778970651893594196', 'TEST_END': '1778970654646535111'}</t>
  </si>
  <si>
    <t>644f69b3d21e40e391eeb6444daa1f3b</t>
  </si>
  <si>
    <t>mlflow-artifacts:/32/644f69b3d21e40e391eeb6444daa1f3b/artifacts</t>
  </si>
  <si>
    <t>2026-05-16 22:30:16.878000+00:00</t>
  </si>
  <si>
    <t>2026-05-16 22:30:20.197000+00:00</t>
  </si>
  <si>
    <t>run.py --task_name classification --is_training 1 --root_path ./dataset/SelfRegulationSCP1/ --model_id SelfRegulationSCP1 --model TimesNet --data UEA --e_layers 3 --batch_size 32 --d_model 128 --d_ff 256 --top_k 3 --des Exp --itr 1 --learning_rate 0.001 --train_epochs 1000 --patience 10 --seed 7 --id b4264b05eb724d0fb2adb0b8054cb898950f5270916b479da420ec29456e8bda</t>
  </si>
  <si>
    <t>b4264b05eb724d0fb2adb0b8054cb898950f5270916b479da420ec29456e8bda</t>
  </si>
  <si>
    <t>Namespace(task_name='classification', is_training=1, model_id='SelfRegulationSCP1', model='TimesNet',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id='b4264b05eb724d0fb2adb0b8054cb898950f5270916b479da420ec29456e8bda', device=device(type='cuda', index=0), num_class=2)</t>
  </si>
  <si>
    <t>classification_SelfRegulationSCP1_TimesNet_UEA_ftM_sl896_ll48_pl0_dm128_nh8_el3_dl1_df256_expand2_dc4_fc1_ebtimeF_dtTrue_Exp_0b4264b05eb724d0fb2adb0b8054cb898950f5270916b479da420ec29456e8bda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</si>
  <si>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'2f2b765278f2439a9f4d899a10ccbe7e', 'MLFLOW_TRACKING_USERNAME': 'sunwu', 'MLFLOW_TRACKING_PASSWORD': 'xxxxx', 'MLFLOW_TRACKING_URI': 'http://192.168.10.61:5000', 'MLFLOW_EXPERIMENT_ID': '32', 'KMP_DUPLICATE_LIB_OK': 'True', 'KMP_INIT_AT_FORK': 'FALSE', 'TRAIN_START': '1778970222384958623', 'TORCHINDUCTOR_CACHE_DIR': '/tmp/torchinductor_root', 'TRAIN_END': '1778970604699484074', 'TEST_START': '1778970604699529508', 'TEST_END': '1778970616681957902'}</t>
  </si>
  <si>
    <t>28774d613a494db08b778e3b0141fcdf</t>
  </si>
  <si>
    <t>mlflow-artifacts:/32/28774d613a494db08b778e3b0141fcdf/artifacts</t>
  </si>
  <si>
    <t>2026-05-16 22:23:15.232000+00:00</t>
  </si>
  <si>
    <t>2026-05-16 22:23:18.347000+00:00</t>
  </si>
  <si>
    <t>run.py --task_name classification --is_training 1 --root_path ./dataset/FaceDetection/ --model_id FaceDetection --model TimesNet --data UEA --e_layers 3 --batch_size 32 --d_model 128 --d_ff 256 --top_k 3 --des Exp --itr 1 --learning_rate 0.001 --train_epochs 1000 --patience 10 --seed 7 --id 284bc550a7c47ef8e13436f9581342b6947d67cfe949749127ab24eb47da119f</t>
  </si>
  <si>
    <t>284bc550a7c47ef8e13436f9581342b6947d67cfe949749127ab24eb47da119f</t>
  </si>
  <si>
    <t>Namespace(task_name='classification', is_training=1, model_id='FaceDetection', model='TimesNet',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id='284bc550a7c47ef8e13436f9581342b6947d67cfe949749127ab24eb47da119f', device=device(type='cuda', index=0), num_class=2)</t>
  </si>
  <si>
    <t>classification_FaceDetection_TimesNet_UEA_ftM_sl62_ll48_pl0_dm128_nh8_el3_dl1_df256_expand2_dc4_fc1_ebtimeF_dtTrue_Exp_0284bc550a7c47ef8e13436f9581342b6947d67cfe949749127ab24eb47da119f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</si>
  <si>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'39313548a9d341299fe205a56be0d836', 'MLFLOW_TRACKING_USERNAME': 'sunwu', 'MLFLOW_TRACKING_PASSWORD': 'xxxxx', 'MLFLOW_TRACKING_URI': 'http://192.168.10.61:5000', 'MLFLOW_EXPERIMENT_ID': '32', 'KMP_DUPLICATE_LIB_OK': 'True', 'KMP_INIT_AT_FORK': 'FALSE', 'TRAIN_START': '1778967929301470297', 'TORCHINDUCTOR_CACHE_DIR': '/tmp/torchinductor_root', 'TRAIN_END': '1778970000451559585', 'TEST_START': '1778970000451611371', 'TEST_END': '1778970195175559296'}</t>
  </si>
  <si>
    <t>da104b7c4a2d468ca55941d7f07ed8c3</t>
  </si>
  <si>
    <t>mlflow-artifacts:/32/da104b7c4a2d468ca55941d7f07ed8c3/artifacts</t>
  </si>
  <si>
    <t>2026-05-16 22:22:47.177000+00:00</t>
  </si>
  <si>
    <t>2026-05-16 22:22:50.696000+00:00</t>
  </si>
  <si>
    <t>run.py --task_name classification --is_training 1 --root_path ./dataset/Heartbeat/ --model_id Heartbeat --model TimesNet --data UEA --e_layers 3 --batch_size 32 --d_model 128 --d_ff 256 --top_k 3 --des Exp --itr 1 --learning_rate 0.001 --train_epochs 1000 --patience 10 --seed 7 --id ae60dbdb9a012498e2065185b7d5efdcd1244ed9aaafa5e3062b7ec90659b7a8</t>
  </si>
  <si>
    <t>ae60dbdb9a012498e2065185b7d5efdcd1244ed9aaafa5e3062b7ec90659b7a8</t>
  </si>
  <si>
    <t>Namespace(task_name='classification', is_training=1, model_id='Heartbeat', model='TimesNet',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id='ae60dbdb9a012498e2065185b7d5efdcd1244ed9aaafa5e3062b7ec90659b7a8', device=device(type='cuda', index=0), num_class=2)</t>
  </si>
  <si>
    <t>classification_Heartbeat_TimesNet_UEA_ftM_sl405_ll48_pl0_dm128_nh8_el3_dl1_df256_expand2_dc4_fc1_ebtimeF_dtTrue_Exp_0ae60dbdb9a012498e2065185b7d5efdcd1244ed9aaafa5e3062b7ec90659b7a8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</si>
  <si>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'92d8e78a63df472ba38a8083e26058c4', 'MLFLOW_TRACKING_USERNAME': 'sunwu', 'MLFLOW_TRACKING_PASSWORD': 'xxxxx', 'MLFLOW_TRACKING_URI': 'http://192.168.10.61:5000', 'MLFLOW_EXPERIMENT_ID': '32', 'KMP_DUPLICATE_LIB_OK': 'True', 'KMP_INIT_AT_FORK': 'FALSE', 'TRAIN_START': '1778970004188489791', 'TORCHINDUCTOR_CACHE_DIR': '/tmp/torchinductor_root', 'TRAIN_END': '1778970161476632809', 'TEST_START': '1778970161476689527', 'TEST_END': '1778970167115982755'}</t>
  </si>
  <si>
    <t>ac369dcfbd3d4b868cf1010b341146f0</t>
  </si>
  <si>
    <t>mlflow-artifacts:/32/ac369dcfbd3d4b868cf1010b341146f0/artifacts</t>
  </si>
  <si>
    <t>2026-05-16 22:17:09.125000+00:00</t>
  </si>
  <si>
    <t>2026-05-16 22:17:12.579000+00:00</t>
  </si>
  <si>
    <t>run.py --task_name classification --is_training 1 --root_path ./dataset/Handwriting/ --model_id Handwriting --model TimesNet --data UEA --e_layers 3 --batch_size 32 --d_model 128 --d_ff 256 --top_k 3 --des Exp --itr 1 --learning_rate 0.001 --train_epochs 1000 --patience 10 --seed 7 --id 570c561ec7a14f997d183a94de409b6269abb4942e856b31da835f806ffb9c79</t>
  </si>
  <si>
    <t>570c561ec7a14f997d183a94de409b6269abb4942e856b31da835f806ffb9c79</t>
  </si>
  <si>
    <t>Namespace(task_name='classification', is_training=1, model_id='Handwriting', model='TimesNet',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id='570c561ec7a14f997d183a94de409b6269abb4942e856b31da835f806ffb9c79', device=device(type='cuda', index=0), num_class=26)</t>
  </si>
  <si>
    <t>classification_Handwriting_TimesNet_UEA_ftM_sl152_ll48_pl0_dm128_nh8_el3_dl1_df256_expand2_dc4_fc1_ebtimeF_dtTrue_Exp_0570c561ec7a14f997d183a94de409b6269abb4942e856b31da835f806ffb9c79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</si>
  <si>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'087b32cc8a34487ab85ed4eb6aa5cec3', 'MLFLOW_TRACKING_USERNAME': 'sunwu', 'MLFLOW_TRACKING_PASSWORD': 'xxxxx', 'MLFLOW_TRACKING_URI': 'http://192.168.10.61:5000', 'MLFLOW_EXPERIMENT_ID': '32', 'KMP_DUPLICATE_LIB_OK': 'True', 'KMP_INIT_AT_FORK': 'FALSE', 'TRAIN_START': '1778968036291180417', 'TORCHINDUCTOR_CACHE_DIR': '/tmp/torchinductor_root', 'TRAIN_END': '1778969806604569516', 'TEST_START': '1778969806604649980', 'TEST_END': '1778969828893448793'}</t>
  </si>
  <si>
    <t>3f3be62a27ae4fc2a2205ad54de2b7f6</t>
  </si>
  <si>
    <t>mlflow-artifacts:/32/3f3be62a27ae4fc2a2205ad54de2b7f6/artifacts</t>
  </si>
  <si>
    <t>2026-05-16 21:47:01.872000+00:00</t>
  </si>
  <si>
    <t>2026-05-16 21:47:05.097000+00:00</t>
  </si>
  <si>
    <t>run.py --task_name classification --is_training 1 --root_path ./dataset/EthanolConcentration/ --model_id EthanolConcentration --model TimesNet --data UEA --e_layers 3 --batch_size 32 --d_model 128 --d_ff 256 --top_k 3 --des Exp --itr 1 --learning_rate 0.001 --train_epochs 1000 --patience 10 --seed 7 --id 6087496b3e68761ed797399b1a6dd709fd8e9a3ed4958585f1ec7afcc0058f80</t>
  </si>
  <si>
    <t>6087496b3e68761ed797399b1a6dd709fd8e9a3ed4958585f1ec7afcc0058f80</t>
  </si>
  <si>
    <t>Namespace(task_name='classification', is_training=1, model_id='EthanolConcentration', model='TimesNet',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id='6087496b3e68761ed797399b1a6dd709fd8e9a3ed4958585f1ec7afcc0058f80', device=device(type='cuda', index=0), num_class=4)</t>
  </si>
  <si>
    <t>classification_EthanolConcentration_TimesNet_UEA_ftM_sl1751_ll48_pl0_dm128_nh8_el3_dl1_df256_expand2_dc4_fc1_ebtimeF_dtTrue_Exp_06087496b3e68761ed797399b1a6dd709fd8e9a3ed4958585f1ec7afcc0058f80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</si>
  <si>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'fe47ca0a2b5b4bf09f63c6d9f0d1ec5c', 'MLFLOW_TRACKING_USERNAME': 'sunwu', 'MLFLOW_TRACKING_PASSWORD': 'xxxxx', 'MLFLOW_TRACKING_URI': 'http://192.168.10.61:5000', 'MLFLOW_EXPERIMENT_ID': '32', 'KMP_DUPLICATE_LIB_OK': 'True', 'KMP_INIT_AT_FORK': 'FALSE', 'TRAIN_START': '1778967360560814639', 'TORCHINDUCTOR_CACHE_DIR': '/tmp/torchinductor_root', 'TRAIN_END': '1778968013233624878', 'TEST_START': '1778968013233676489', 'TEST_END': '1778968021821743343'}</t>
  </si>
  <si>
    <t>d1ba472b2c5744779079f6a008b45c44</t>
  </si>
  <si>
    <t>mlflow-artifacts:/32/d1ba472b2c5744779079f6a008b45c44/artifacts</t>
  </si>
  <si>
    <t>2026-05-16 21:36:12.993000+00:00</t>
  </si>
  <si>
    <t>2026-05-16 21:36:17.151000+00:00</t>
  </si>
  <si>
    <t>run.py --task_name classification --is_training 1 --root_path ./dataset/UWaveGestureLibrary/ --model_id UWaveGestureLibrary --model TimesNet --data UEA --e_layers 3 --batch_size 32 --d_model 128 --d_ff 256 --top_k 3 --des Exp --itr 1 --learning_rate 0.001 --train_epochs 1000 --patience 10 --seed 7 --id 24fa042d3cdfefc988ec7ab2d867a0df3ab5a975852df9dff4a50e9c2dcfcd0a</t>
  </si>
  <si>
    <t>24fa042d3cdfefc988ec7ab2d867a0df3ab5a975852df9dff4a50e9c2dcfcd0a</t>
  </si>
  <si>
    <t>Namespace(task_name='classification', is_training=1, model_id='UWaveGestureLibrary', model='TimesNet',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id='24fa042d3cdfefc988ec7ab2d867a0df3ab5a975852df9dff4a50e9c2dcfcd0a', device=device(type='cuda', index=0), num_class=8)</t>
  </si>
  <si>
    <t>classification_UWaveGestureLibrary_TimesNet_UEA_ftM_sl315_ll48_pl0_dm128_nh8_el3_dl1_df256_expand2_dc4_fc1_ebtimeF_dtTrue_Exp_024fa042d3cdfefc988ec7ab2d867a0df3ab5a975852df9dff4a50e9c2dcfcd0a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</si>
  <si>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'a16276fb1f9748cd84b27aba965f730f', 'MLFLOW_TRACKING_USERNAME': 'sunwu', 'MLFLOW_TRACKING_PASSWORD': 'xxxxx', 'MLFLOW_TRACKING_URI': 'http://192.168.10.61:5000', 'MLFLOW_EXPERIMENT_ID': '32', 'KMP_DUPLICATE_LIB_OK': 'True', 'KMP_INIT_AT_FORK': 'FALSE', 'TRAIN_START': '1778967217336798543', 'TORCHINDUCTOR_CACHE_DIR': '/tmp/torchinductor_root', 'TRAIN_END': '1778967369180337080', 'TEST_START': '1778967369180403724', 'TEST_END': '1778967372941536731'}</t>
  </si>
  <si>
    <t>05f279d9a2f44fe8b854c974ba2f979d</t>
  </si>
  <si>
    <t>mlflow-artifacts:/32/05f279d9a2f44fe8b854c974ba2f979d/artifacts</t>
  </si>
  <si>
    <t>2026-05-16 08:44:10.948000+00:00</t>
  </si>
  <si>
    <t>2026-05-16 08:44:14.105000+00:00</t>
  </si>
  <si>
    <t>run.py --task_name classification --is_training 1 --root_path ./dataset/PEMS-SF/ --model_id PEMS-SF --model MambaSL --data UEA --e_layers 3 --batch_size 32 --d_model 128 --d_ff 256 --top_k 3 --des Exp --itr 1 --learning_rate 0.001 --train_epochs 1000 --patience 10 --seed 2026 --id fbad07e90f5a58df79f59d7838bff5168013e4c336e55485ddcfe310cd80ee57</t>
  </si>
  <si>
    <t>fbad07e90f5a58df79f59d7838bff5168013e4c336e55485ddcfe310cd80ee57</t>
  </si>
  <si>
    <t>Namespace(task_name='classification', is_training=1, model_id='PEMS-SF', model='MambaSL',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id='fbad07e90f5a58df79f59d7838bff5168013e4c336e55485ddcfe310cd80ee57', device=device(type='cuda', index=0), num_class=7)</t>
  </si>
  <si>
    <t>classification_PEMS-SF_MambaSL_UEA_ftM_sl144_ll48_pl0_dm128_nh8_el3_dl1_df256_expand2_dc4_fc1_ebtimeF_dtTrue_Exp_0fbad07e90f5a58df79f59d7838bff5168013e4c336e55485ddcfe310cd80ee57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</si>
  <si>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'447e2c9df15148ea9c2894c4a9a5711b',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'1778920850488673630', 'TRAIN_END': '1778921023408738065', 'TEST_START': '1778921023408793108', 'TEST_END': '1778921050902382594'}</t>
  </si>
  <si>
    <t>5ca2ca3b08294dc789a52cb312d131cd</t>
  </si>
  <si>
    <t>mlflow-artifacts:/32/5ca2ca3b08294dc789a52cb312d131cd/artifacts</t>
  </si>
  <si>
    <t>2026-05-16 08:38:19.144000+00:00</t>
  </si>
  <si>
    <t>2026-05-16 08:38:22.307000+00:00</t>
  </si>
  <si>
    <t>run.py --task_name classification --is_training 1 --root_path ./dataset/SpokenArabicDigits/ --model_id SpokenArabicDigits --model MambaSL --data UEA --e_layers 3 --batch_size 32 --d_model 128 --d_ff 256 --top_k 3 --des Exp --itr 1 --learning_rate 0.001 --train_epochs 1000 --patience 10 --seed 2026 --id 8a70fdcd9228f6eac0b5b496244a7a67e3ef4e78389ae1e2a0c2862b4bf9ef42</t>
  </si>
  <si>
    <t>8a70fdcd9228f6eac0b5b496244a7a67e3ef4e78389ae1e2a0c2862b4bf9ef42</t>
  </si>
  <si>
    <t>Namespace(task_name='classification', is_training=1, model_id='SpokenArabicDigits', model='MambaSL',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id='8a70fdcd9228f6eac0b5b496244a7a67e3ef4e78389ae1e2a0c2862b4bf9ef42', device=device(type='cuda', index=0), num_class=10)</t>
  </si>
  <si>
    <t>classification_SpokenArabicDigits_MambaSL_UEA_ftM_sl93_ll48_pl0_dm128_nh8_el3_dl1_df256_expand2_dc4_fc1_ebtimeF_dtTrue_Exp_08a70fdcd9228f6eac0b5b496244a7a67e3ef4e78389ae1e2a0c2862b4bf9ef42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</si>
  <si>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'edf4a0163aeb4d41869d4560466266a2',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'1778920609035659524', 'TRAIN_END': '1778920694199477974', 'TEST_START': '1778920694199545978', 'TEST_END': '1778920699096953815'}</t>
  </si>
  <si>
    <t>37cedf3e4d414122bb5bcfe4432c0a56</t>
  </si>
  <si>
    <t>mlflow-artifacts:/32/37cedf3e4d414122bb5bcfe4432c0a56/artifacts</t>
  </si>
  <si>
    <t>2026-05-16 08:36:39.497000+00:00</t>
  </si>
  <si>
    <t>2026-05-16 08:36:42.479000+00:00</t>
  </si>
  <si>
    <t>run.py --task_name classification --is_training 1 --root_path ./dataset/SelfRegulationSCP2/ --model_id SelfRegulationSCP2 --model MambaSL --data UEA --e_layers 3 --batch_size 32 --d_model 128 --d_ff 256 --top_k 3 --des Exp --itr 1 --learning_rate 0.001 --train_epochs 1000 --patience 10 --seed 2026 --id fd8a3424ca8dfa3fb7483e92ba47627c8470d33a0118a7381d9b2076f825c7bd</t>
  </si>
  <si>
    <t>fd8a3424ca8dfa3fb7483e92ba47627c8470d33a0118a7381d9b2076f825c7bd</t>
  </si>
  <si>
    <t>Namespace(task_name='classification', is_training=1, model_id='SelfRegulationSCP2', model='MambaSL',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id='fd8a3424ca8dfa3fb7483e92ba47627c8470d33a0118a7381d9b2076f825c7bd', device=device(type='cuda', index=0), num_class=2)</t>
  </si>
  <si>
    <t>classification_SelfRegulationSCP2_MambaSL_UEA_ftM_sl1152_ll48_pl0_dm128_nh8_el3_dl1_df256_expand2_dc4_fc1_ebtimeF_dtTrue_Exp_0fd8a3424ca8dfa3fb7483e92ba47627c8470d33a0118a7381d9b2076f825c7bd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</si>
  <si>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'a3123c116e4d4db4bfb3737bc9831938',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'1778920555674062013', 'TRAIN_END': '1778920598150228553', 'TEST_START': '1778920598150302908', 'TEST_END': '1778920599451004005'}</t>
  </si>
  <si>
    <t>0df8255c3e0c4d7186c4687e92d05401</t>
  </si>
  <si>
    <t>mlflow-artifacts:/32/0df8255c3e0c4d7186c4687e92d05401/artifacts</t>
  </si>
  <si>
    <t>2026-05-16 08:35:46.513000+00:00</t>
  </si>
  <si>
    <t>2026-05-16 08:35:50.732000+00:00</t>
  </si>
  <si>
    <t>run.py --task_name classification --is_training 1 --root_path ./dataset/FaceDetection/ --model_id FaceDetection --model MambaSL --data UEA --e_layers 3 --batch_size 32 --d_model 128 --d_ff 256 --top_k 3 --des Exp --itr 1 --learning_rate 0.001 --train_epochs 1000 --patience 10 --seed 2026 --id 76ccaaa1992dd0d59742733c3938dab2c79d90c81634669280b73f449a72a0e2</t>
  </si>
  <si>
    <t>76ccaaa1992dd0d59742733c3938dab2c79d90c81634669280b73f449a72a0e2</t>
  </si>
  <si>
    <t>Namespace(task_name='classification', is_training=1, model_id='FaceDetection', model='MambaSL',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id='76ccaaa1992dd0d59742733c3938dab2c79d90c81634669280b73f449a72a0e2', device=device(type='cuda', index=0), num_class=2)</t>
  </si>
  <si>
    <t>classification_FaceDetection_MambaSL_UEA_ftM_sl62_ll48_pl0_dm128_nh8_el3_dl1_df256_expand2_dc4_fc1_ebtimeF_dtTrue_Exp_076ccaaa1992dd0d59742733c3938dab2c79d90c81634669280b73f449a72a0e2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</si>
  <si>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'88ba359784d9404bab3f673b80480d9d',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'1778920176968527881', 'TRAIN_END': '1778920477641754236', 'TEST_START': '1778920477641814199', 'TEST_END': '1778920546468165451'}</t>
  </si>
  <si>
    <t>af8292e373e94215b3cd1b0721195607</t>
  </si>
  <si>
    <t>mlflow-artifacts:/32/af8292e373e94215b3cd1b0721195607/artifacts</t>
  </si>
  <si>
    <t>2026-05-16 08:35:37.244000+00:00</t>
  </si>
  <si>
    <t>2026-05-16 08:35:40.256000+00:00</t>
  </si>
  <si>
    <t>run.py --task_name classification --is_training 1 --root_path ./dataset/SelfRegulationSCP1/ --model_id SelfRegulationSCP1 --model MambaSL --data UEA --e_layers 3 --batch_size 32 --d_model 128 --d_ff 256 --top_k 3 --des Exp --itr 1 --learning_rate 0.001 --train_epochs 1000 --patience 10 --seed 2026 --id 3aa470c410f9f5712e802807d873523a1d8f92fe29f846764ed3faad120c7da4</t>
  </si>
  <si>
    <t>3aa470c410f9f5712e802807d873523a1d8f92fe29f846764ed3faad120c7da4</t>
  </si>
  <si>
    <t>Namespace(task_name='classification', is_training=1, model_id='SelfRegulationSCP1', model='MambaSL',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id='3aa470c410f9f5712e802807d873523a1d8f92fe29f846764ed3faad120c7da4', device=device(type='cuda', index=0), num_class=2)</t>
  </si>
  <si>
    <t>classification_SelfRegulationSCP1_MambaSL_UEA_ftM_sl896_ll48_pl0_dm128_nh8_el3_dl1_df256_expand2_dc4_fc1_ebtimeF_dtTrue_Exp_03aa470c410f9f5712e802807d873523a1d8f92fe29f846764ed3faad120c7da4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</si>
  <si>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'c1fda968d7764a2295b807e0f14138c4',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'1778920515054636891', 'TRAIN_END': '1778920536045743399', 'TEST_START': '1778920536045820573', 'TEST_END': '1778920537196361828'}</t>
  </si>
  <si>
    <t>0afb1c2dfb4544179a0323260ba9cf18</t>
  </si>
  <si>
    <t>mlflow-artifacts:/32/0afb1c2dfb4544179a0323260ba9cf18/artifacts</t>
  </si>
  <si>
    <t>2026-05-16 08:34:56.505000+00:00</t>
  </si>
  <si>
    <t>2026-05-16 08:34:59.498000+00:00</t>
  </si>
  <si>
    <t>run.py --task_name classification --is_training 1 --root_path ./dataset/JapaneseVowels/ --model_id JapaneseVowels --model MambaSL --data UEA --e_layers 3 --batch_size 32 --d_model 128 --d_ff 256 --top_k 3 --des Exp --itr 1 --learning_rate 0.001 --train_epochs 1000 --patience 10 --seed 2026 --id e51d01212c86d4f234239bf110e2309299147f565a3bce14515f3c3aa90ad686</t>
  </si>
  <si>
    <t>e51d01212c86d4f234239bf110e2309299147f565a3bce14515f3c3aa90ad686</t>
  </si>
  <si>
    <t>Namespace(task_name='classification', is_training=1, model_id='JapaneseVowels', model='MambaSL',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id='e51d01212c86d4f234239bf110e2309299147f565a3bce14515f3c3aa90ad686', device=device(type='cuda', index=0), num_class=9)</t>
  </si>
  <si>
    <t>classification_JapaneseVowels_MambaSL_UEA_ftM_sl29_ll48_pl0_dm128_nh8_el3_dl1_df256_expand2_dc4_fc1_ebtimeF_dtTrue_Exp_0e51d01212c86d4f234239bf110e2309299147f565a3bce14515f3c3aa90ad686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</si>
  <si>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'3b75e7db9c0d487983bcff907a060ff3',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'1778920452390345414', 'TRAIN_END': '1778920495181749109', 'TEST_START': '1778920495181826381', 'TEST_END': '1778920496436530701'}</t>
  </si>
  <si>
    <t>8e6abcc536e641aeabde3029f3f7dda1</t>
  </si>
  <si>
    <t>mlflow-artifacts:/32/8e6abcc536e641aeabde3029f3f7dda1/artifacts</t>
  </si>
  <si>
    <t>2026-05-16 08:30:22.440000+00:00</t>
  </si>
  <si>
    <t>2026-05-16 08:30:25.426000+00:00</t>
  </si>
  <si>
    <t>run.py --task_name classification --is_training 1 --root_path ./dataset/Heartbeat/ --model_id Heartbeat --model MambaSL --data UEA --e_layers 3 --batch_size 32 --d_model 128 --d_ff 256 --top_k 3 --des Exp --itr 1 --learning_rate 0.001 --train_epochs 1000 --patience 10 --seed 2026 --id 0d96dcf714548c7d5bd464cb37778bf8c3722194658a56f828781b03988e46b6</t>
  </si>
  <si>
    <t>0d96dcf714548c7d5bd464cb37778bf8c3722194658a56f828781b03988e46b6</t>
  </si>
  <si>
    <t>Namespace(task_name='classification', is_training=1, model_id='Heartbeat', model='MambaSL',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id='0d96dcf714548c7d5bd464cb37778bf8c3722194658a56f828781b03988e46b6', device=device(type='cuda', index=0), num_class=2)</t>
  </si>
  <si>
    <t>classification_Heartbeat_MambaSL_UEA_ftM_sl405_ll48_pl0_dm128_nh8_el3_dl1_df256_expand2_dc4_fc1_ebtimeF_dtTrue_Exp_00d96dcf714548c7d5bd464cb37778bf8c3722194658a56f828781b03988e46b6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</si>
  <si>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'280e1ee8ce5d4fa795b531ff1c70524e',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'1778920176166400866', 'TRAIN_END': '1778920219139743520', 'TEST_START': '1778920219139806939', 'TEST_END': '1778920222394087331'}</t>
  </si>
  <si>
    <t>8ae30f8b722f4efc827d5d6ab7447437</t>
  </si>
  <si>
    <t>mlflow-artifacts:/32/8ae30f8b722f4efc827d5d6ab7447437/artifacts</t>
  </si>
  <si>
    <t>2026-05-16 08:29:06.403000+00:00</t>
  </si>
  <si>
    <t>2026-05-16 08:29:09.543000+00:00</t>
  </si>
  <si>
    <t>run.py --task_name classification --is_training 1 --root_path ./dataset/Handwriting/ --model_id Handwriting --model MambaSL --data UEA --e_layers 3 --batch_size 32 --d_model 128 --d_ff 256 --top_k 3 --des Exp --itr 1 --learning_rate 0.001 --train_epochs 1000 --patience 10 --seed 2026 --id 7d88924f402dbffc0eaa88ab7e3e2b2f847e64cc405ad8846b0385d7719500af</t>
  </si>
  <si>
    <t>7d88924f402dbffc0eaa88ab7e3e2b2f847e64cc405ad8846b0385d7719500af</t>
  </si>
  <si>
    <t>Namespace(task_name='classification', is_training=1, model_id='Handwriting', model='MambaSL',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id='7d88924f402dbffc0eaa88ab7e3e2b2f847e64cc405ad8846b0385d7719500af', device=device(type='cuda', index=0), num_class=26)</t>
  </si>
  <si>
    <t>classification_Handwriting_MambaSL_UEA_ftM_sl152_ll48_pl0_dm128_nh8_el3_dl1_df256_expand2_dc4_fc1_ebtimeF_dtTrue_Exp_07d88924f402dbffc0eaa88ab7e3e2b2f847e64cc405ad8846b0385d7719500af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</si>
  <si>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'aec85d0152f24f56bf3663774d93c902',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'1778920045202582389', 'TRAIN_END': '1778920144999111327', 'TEST_START': '1778920144999183238', 'TEST_END': '1778920146359610480'}</t>
  </si>
  <si>
    <t>db8dd02fc37a470eaf2c0a1fd48e96fb</t>
  </si>
  <si>
    <t>mlflow-artifacts:/32/db8dd02fc37a470eaf2c0a1fd48e96fb/artifacts</t>
  </si>
  <si>
    <t>2026-05-16 08:27:09.137000+00:00</t>
  </si>
  <si>
    <t>2026-05-16 08:27:13.403000+00:00</t>
  </si>
  <si>
    <t>run.py --task_name classification --is_training 1 --root_path ./dataset/PEMS-SF/ --model_id PEMS-SF --model MambaSL --data UEA --e_layers 3 --batch_size 32 --d_model 128 --d_ff 256 --top_k 3 --des Exp --itr 1 --learning_rate 0.001 --train_epochs 1000 --patience 10 --seed 1234 --id 8737fba50703affe2156377abb35b5b392690173174ed72d4faeb75a16461f69</t>
  </si>
  <si>
    <t>8737fba50703affe2156377abb35b5b392690173174ed72d4faeb75a16461f69</t>
  </si>
  <si>
    <t>Namespace(task_name='classification', is_training=1, model_id='PEMS-SF', model='MambaSL',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id='8737fba50703affe2156377abb35b5b392690173174ed72d4faeb75a16461f69', device=device(type='cuda', index=0), num_class=7)</t>
  </si>
  <si>
    <t>classification_PEMS-SF_MambaSL_UEA_ftM_sl144_ll48_pl0_dm128_nh8_el3_dl1_df256_expand2_dc4_fc1_ebtimeF_dtTrue_Exp_08737fba50703affe2156377abb35b5b392690173174ed72d4faeb75a16461f69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</si>
  <si>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'848df2f5efcc4fe19ca41c033de329d2',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'1778919829690400286', 'TRAIN_END': '1778920001450211120', 'TEST_START': '1778920001450295143', 'TEST_END': '1778920029092248450'}</t>
  </si>
  <si>
    <t>22d6bfe9079e4a2cbc32d96fe4d3f7f9</t>
  </si>
  <si>
    <t>mlflow-artifacts:/32/22d6bfe9079e4a2cbc32d96fe4d3f7f9/artifacts</t>
  </si>
  <si>
    <t>2026-05-16 08:24:45.778000+00:00</t>
  </si>
  <si>
    <t>2026-05-16 08:24:48.772000+00:00</t>
  </si>
  <si>
    <t>run.py --task_name classification --is_training 1 --root_path ./dataset/EthanolConcentration/ --model_id EthanolConcentration --model MambaSL --data UEA --e_layers 3 --batch_size 32 --d_model 128 --d_ff 256 --top_k 3 --des Exp --itr 1 --learning_rate 0.001 --train_epochs 1000 --patience 10 --seed 2026 --id b6d1de180f185b1f1ff9be77e6b1c6feee60a03ca5036d75e1257eec531560e9</t>
  </si>
  <si>
    <t>b6d1de180f185b1f1ff9be77e6b1c6feee60a03ca5036d75e1257eec531560e9</t>
  </si>
  <si>
    <t>Namespace(task_name='classification', is_training=1, model_id='EthanolConcentration', model='MambaSL',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id='b6d1de180f185b1f1ff9be77e6b1c6feee60a03ca5036d75e1257eec531560e9', device=device(type='cuda', index=0), num_class=4)</t>
  </si>
  <si>
    <t>classification_EthanolConcentration_MambaSL_UEA_ftM_sl1751_ll48_pl0_dm128_nh8_el3_dl1_df256_expand2_dc4_fc1_ebtimeF_dtTrue_Exp_0b6d1de180f185b1f1ff9be77e6b1c6feee60a03ca5036d75e1257eec531560e9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</si>
  <si>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'4364a74ec4444df08ac9b090a9fa0a82',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'1778919823221627352', 'TRAIN_END': '1778919884361083155', 'TEST_START': '1778919884361142664', 'TEST_END': '1778919885728955570'}</t>
  </si>
  <si>
    <t>6491a9c34e25483990711b370b49f64b</t>
  </si>
  <si>
    <t>mlflow-artifacts:/32/6491a9c34e25483990711b370b49f64b/artifacts</t>
  </si>
  <si>
    <t>2026-05-16 08:23:25.507000+00:00</t>
  </si>
  <si>
    <t>2026-05-16 08:23:28.499000+00:00</t>
  </si>
  <si>
    <t>run.py --task_name classification --is_training 1 --root_path ./dataset/UWaveGestureLibrary/ --model_id UWaveGestureLibrary --model MambaSL --data UEA --e_layers 3 --batch_size 32 --d_model 128 --d_ff 256 --top_k 3 --des Exp --itr 1 --learning_rate 0.001 --train_epochs 1000 --patience 10 --seed 2026 --id 140660fc2b983ffe45a8910121c9b6636ddc043c418cd6e878384065037ec206</t>
  </si>
  <si>
    <t>140660fc2b983ffe45a8910121c9b6636ddc043c418cd6e878384065037ec206</t>
  </si>
  <si>
    <t>Namespace(task_name='classification', is_training=1, model_id='UWaveGestureLibrary', model='MambaSL',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id='140660fc2b983ffe45a8910121c9b6636ddc043c418cd6e878384065037ec206', device=device(type='cuda', index=0), num_class=8)</t>
  </si>
  <si>
    <t>classification_UWaveGestureLibrary_MambaSL_UEA_ftM_sl315_ll48_pl0_dm128_nh8_el3_dl1_df256_expand2_dc4_fc1_ebtimeF_dtTrue_Exp_0140660fc2b983ffe45a8910121c9b6636ddc043c418cd6e878384065037ec206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</si>
  <si>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'5ec25f027af84a318c2c7bd0ef07cabb',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'1778919729988624427', 'TRAIN_END': '1778919804789390786', 'TEST_START': '1778919804789458811', 'TEST_END': '1778919805458694684'}</t>
  </si>
  <si>
    <t>c678e67f5f7b4e4ebc4b8596de727c8d</t>
  </si>
  <si>
    <t>mlflow-artifacts:/32/c678e67f5f7b4e4ebc4b8596de727c8d/artifacts</t>
  </si>
  <si>
    <t>2026-05-16 08:21:38.616000+00:00</t>
  </si>
  <si>
    <t>2026-05-16 08:21:41.786000+00:00</t>
  </si>
  <si>
    <t>run.py --task_name classification --is_training 1 --root_path ./dataset/FaceDetection/ --model_id FaceDetection --model MambaSL --data UEA --e_layers 3 --batch_size 32 --d_model 128 --d_ff 256 --top_k 3 --des Exp --itr 1 --learning_rate 0.001 --train_epochs 1000 --patience 10 --seed 1234 --id 205b002df6974b73d77a7ed2fb3325f4a985d8b4e5b8f03f76b99f4a511da16f</t>
  </si>
  <si>
    <t>205b002df6974b73d77a7ed2fb3325f4a985d8b4e5b8f03f76b99f4a511da16f</t>
  </si>
  <si>
    <t>Namespace(task_name='classification', is_training=1, model_id='FaceDetection', model='MambaSL',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id='205b002df6974b73d77a7ed2fb3325f4a985d8b4e5b8f03f76b99f4a511da16f', device=device(type='cuda', index=0), num_class=2)</t>
  </si>
  <si>
    <t>classification_FaceDetection_MambaSL_UEA_ftM_sl62_ll48_pl0_dm128_nh8_el3_dl1_df256_expand2_dc4_fc1_ebtimeF_dtTrue_Exp_0205b002df6974b73d77a7ed2fb3325f4a985d8b4e5b8f03f76b99f4a511da16f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</si>
  <si>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'9ea3fc6ac9584cfeb49e91e6662e86ff',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'1778919308081631035', 'TRAIN_END': '1778919630466917134', 'TEST_START': '1778919630466986906', 'TEST_END': '1778919698565744247'}</t>
  </si>
  <si>
    <t>5813eb44841045c993e96551f00b31a6</t>
  </si>
  <si>
    <t>mlflow-artifacts:/32/5813eb44841045c993e96551f00b31a6/artifacts</t>
  </si>
  <si>
    <t>2026-05-16 08:19:02.911000+00:00</t>
  </si>
  <si>
    <t>2026-05-16 08:19:06.920000+00:00</t>
  </si>
  <si>
    <t>run.py --task_name classification --is_training 1 --root_path ./dataset/SpokenArabicDigits/ --model_id SpokenArabicDigits --model MambaSL --data UEA --e_layers 3 --batch_size 32 --d_model 128 --d_ff 256 --top_k 3 --des Exp --itr 1 --learning_rate 0.001 --train_epochs 1000 --patience 10 --seed 1234 --id 5e026d7f796fe4a1a79839a36af197e6bc3015ce194af7b891376078da588caf</t>
  </si>
  <si>
    <t>5e026d7f796fe4a1a79839a36af197e6bc3015ce194af7b891376078da588caf</t>
  </si>
  <si>
    <t>Namespace(task_name='classification', is_training=1, model_id='SpokenArabicDigits', model='MambaSL',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id='5e026d7f796fe4a1a79839a36af197e6bc3015ce194af7b891376078da588caf', device=device(type='cuda', index=0), num_class=10)</t>
  </si>
  <si>
    <t>classification_SpokenArabicDigits_MambaSL_UEA_ftM_sl93_ll48_pl0_dm128_nh8_el3_dl1_df256_expand2_dc4_fc1_ebtimeF_dtTrue_Exp_05e026d7f796fe4a1a79839a36af197e6bc3015ce194af7b891376078da588caf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</si>
  <si>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'4323994d88484ad781a49d083cc5af84',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'1778919471169509787', 'TRAIN_END': '1778919538074435272', 'TEST_START': '1778919538074501700', 'TEST_END': '1778919542864374971'}</t>
  </si>
  <si>
    <t>e3f257ca0a0947babb1a05e81fac64b1</t>
  </si>
  <si>
    <t>mlflow-artifacts:/32/e3f257ca0a0947babb1a05e81fac64b1/artifacts</t>
  </si>
  <si>
    <t>2026-05-16 08:17:12.579000+00:00</t>
  </si>
  <si>
    <t>2026-05-16 08:17:16.551000+00:00</t>
  </si>
  <si>
    <t>run.py --task_name classification --is_training 1 --root_path ./dataset/SelfRegulationSCP2/ --model_id SelfRegulationSCP2 --model MambaSL --data UEA --e_layers 3 --batch_size 32 --d_model 128 --d_ff 256 --top_k 3 --des Exp --itr 1 --learning_rate 0.001 --train_epochs 1000 --patience 10 --seed 1234 --id 352527eb8c120f1eb4199259438259c5233bb17dfd4a852709529d33e5dc4fb2</t>
  </si>
  <si>
    <t>352527eb8c120f1eb4199259438259c5233bb17dfd4a852709529d33e5dc4fb2</t>
  </si>
  <si>
    <t>Namespace(task_name='classification', is_training=1, model_id='SelfRegulationSCP2', model='MambaSL',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id='352527eb8c120f1eb4199259438259c5233bb17dfd4a852709529d33e5dc4fb2', device=device(type='cuda', index=0), num_class=2)</t>
  </si>
  <si>
    <t>classification_SelfRegulationSCP2_MambaSL_UEA_ftM_sl1152_ll48_pl0_dm128_nh8_el3_dl1_df256_expand2_dc4_fc1_ebtimeF_dtTrue_Exp_0352527eb8c120f1eb4199259438259c5233bb17dfd4a852709529d33e5dc4fb2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</si>
  <si>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'b9cd3206a6134974b338dcea7089a6d2',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'1778919391535718961', 'TRAIN_END': '1778919431348092834', 'TEST_START': '1778919431348137151', 'TEST_END': '1778919432533778427'}</t>
  </si>
  <si>
    <t>9b1e9ab9384a4794bb555f4bab8e7a86</t>
  </si>
  <si>
    <t>mlflow-artifacts:/32/9b1e9ab9384a4794bb555f4bab8e7a86/artifacts</t>
  </si>
  <si>
    <t>2026-05-16 08:16:13.572000+00:00</t>
  </si>
  <si>
    <t>2026-05-16 08:16:16.569000+00:00</t>
  </si>
  <si>
    <t>run.py --task_name classification --is_training 1 --root_path ./dataset/SelfRegulationSCP1/ --model_id SelfRegulationSCP1 --model MambaSL --data UEA --e_layers 3 --batch_size 32 --d_model 128 --d_ff 256 --top_k 3 --des Exp --itr 1 --learning_rate 0.001 --train_epochs 1000 --patience 10 --seed 1234 --id fc7045e94d6ab410fd4fc89414aef2d6cbbac15905d5d25f94bfc7594cc53be3</t>
  </si>
  <si>
    <t>fc7045e94d6ab410fd4fc89414aef2d6cbbac15905d5d25f94bfc7594cc53be3</t>
  </si>
  <si>
    <t>Namespace(task_name='classification', is_training=1, model_id='SelfRegulationSCP1', model='MambaSL',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id='fc7045e94d6ab410fd4fc89414aef2d6cbbac15905d5d25f94bfc7594cc53be3', device=device(type='cuda', index=0), num_class=2)</t>
  </si>
  <si>
    <t>classification_SelfRegulationSCP1_MambaSL_UEA_ftM_sl896_ll48_pl0_dm128_nh8_el3_dl1_df256_expand2_dc4_fc1_ebtimeF_dtTrue_Exp_0fc7045e94d6ab410fd4fc89414aef2d6cbbac15905d5d25f94bfc7594cc53be3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</si>
  <si>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'898230e69ebe4ed7bf0e4c896c82b61a',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'1778919352894916719', 'TRAIN_END': '1778919372438076360', 'TEST_START': '1778919372438185179', 'TEST_END': '1778919373523545387'}</t>
  </si>
  <si>
    <t>67693fd827cf4c48bb72b181c6aac85c</t>
  </si>
  <si>
    <t>mlflow-artifacts:/32/67693fd827cf4c48bb72b181c6aac85c/artifacts</t>
  </si>
  <si>
    <t>2026-05-16 08:15:34.322000+00:00</t>
  </si>
  <si>
    <t>2026-05-16 08:15:37.823000+00:00</t>
  </si>
  <si>
    <t>run.py --task_name classification --is_training 1 --root_path ./dataset/JapaneseVowels/ --model_id JapaneseVowels --model MambaSL --data UEA --e_layers 3 --batch_size 32 --d_model 128 --d_ff 256 --top_k 3 --des Exp --itr 1 --learning_rate 0.001 --train_epochs 1000 --patience 10 --seed 1234 --id e1969cdef68cb4c032836450c068d350494028d295ed292d7f220215fcbfff34</t>
  </si>
  <si>
    <t>e1969cdef68cb4c032836450c068d350494028d295ed292d7f220215fcbfff34</t>
  </si>
  <si>
    <t>Namespace(task_name='classification', is_training=1, model_id='JapaneseVowels', model='MambaSL',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id='e1969cdef68cb4c032836450c068d350494028d295ed292d7f220215fcbfff34', device=device(type='cuda', index=0), num_class=9)</t>
  </si>
  <si>
    <t>classification_JapaneseVowels_MambaSL_UEA_ftM_sl29_ll48_pl0_dm128_nh8_el3_dl1_df256_expand2_dc4_fc1_ebtimeF_dtTrue_Exp_0e1969cdef68cb4c032836450c068d350494028d295ed292d7f220215fcbfff34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</si>
  <si>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'fa37dac209ee440c92da85ac75f282d4',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'1778919290234198444', 'TRAIN_END': '1778919333035291295', 'TEST_START': '1778919333035379472', 'TEST_END': '1778919334275199469'}</t>
  </si>
  <si>
    <t>e6f7342e9362451fbba7b2302396c05c</t>
  </si>
  <si>
    <t>mlflow-artifacts:/32/e6f7342e9362451fbba7b2302396c05c/artifacts</t>
  </si>
  <si>
    <t>2026-05-16 08:14:35.210000+00:00</t>
  </si>
  <si>
    <t>2026-05-16 08:14:38.193000+00:00</t>
  </si>
  <si>
    <t>run.py --task_name classification --is_training 1 --root_path ./dataset/Heartbeat/ --model_id Heartbeat --model MambaSL --data UEA --e_layers 3 --batch_size 32 --d_model 128 --d_ff 256 --top_k 3 --des Exp --itr 1 --learning_rate 0.001 --train_epochs 1000 --patience 10 --seed 1234 --id b5c5e33e7dcd31f72a0cc5b6936831cd924457aedd0cbd7a0fdbaadb2c0744d6</t>
  </si>
  <si>
    <t>b5c5e33e7dcd31f72a0cc5b6936831cd924457aedd0cbd7a0fdbaadb2c0744d6</t>
  </si>
  <si>
    <t>Namespace(task_name='classification', is_training=1, model_id='Heartbeat', model='MambaSL',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id='b5c5e33e7dcd31f72a0cc5b6936831cd924457aedd0cbd7a0fdbaadb2c0744d6', device=device(type='cuda', index=0), num_class=2)</t>
  </si>
  <si>
    <t>classification_Heartbeat_MambaSL_UEA_ftM_sl405_ll48_pl0_dm128_nh8_el3_dl1_df256_expand2_dc4_fc1_ebtimeF_dtTrue_Exp_0b5c5e33e7dcd31f72a0cc5b6936831cd924457aedd0cbd7a0fdbaadb2c0744d6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</si>
  <si>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'aa87e7562aa841139e6bf8b2f5023516',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'1778919223252468770', 'TRAIN_END': '1778919271674679019', 'TEST_START': '1778919271674743444', 'TEST_END': '1778919275161276905'}</t>
  </si>
  <si>
    <t>ca18ec362f0a4458b93a711cf19f0369</t>
  </si>
  <si>
    <t>mlflow-artifacts:/32/ca18ec362f0a4458b93a711cf19f0369/artifacts</t>
  </si>
  <si>
    <t>2026-05-16 08:07:21.506000+00:00</t>
  </si>
  <si>
    <t>2026-05-16 08:07:24.757000+00:00</t>
  </si>
  <si>
    <t>run.py --task_name classification --is_training 1 --root_path ./dataset/Handwriting/ --model_id Handwriting --model MambaSL --data UEA --e_layers 3 --batch_size 32 --d_model 128 --d_ff 256 --top_k 3 --des Exp --itr 1 --learning_rate 0.001 --train_epochs 1000 --patience 10 --seed 1234 --id 240c906a54d6f41e20146aabe74872456dd59b3a1bd24198bbc462fb26535e09</t>
  </si>
  <si>
    <t>240c906a54d6f41e20146aabe74872456dd59b3a1bd24198bbc462fb26535e09</t>
  </si>
  <si>
    <t>Namespace(task_name='classification', is_training=1, model_id='Handwriting', model='MambaSL',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id='240c906a54d6f41e20146aabe74872456dd59b3a1bd24198bbc462fb26535e09', device=device(type='cuda', index=0), num_class=26)</t>
  </si>
  <si>
    <t>classification_Handwriting_MambaSL_UEA_ftM_sl152_ll48_pl0_dm128_nh8_el3_dl1_df256_expand2_dc4_fc1_ebtimeF_dtTrue_Exp_0240c906a54d6f41e20146aabe74872456dd59b3a1bd24198bbc462fb26535e09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</si>
  <si>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'485cc01b7451412b824cfcbe973f436b',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'1778918738896954588', 'TRAIN_END': '1778918840084821023', 'TEST_START': '1778918840084899830', 'TEST_END': '1778918841452609891'}</t>
  </si>
  <si>
    <t>e314cc3850994d9dbbec4cc0e458e466</t>
  </si>
  <si>
    <t>mlflow-artifacts:/32/e314cc3850994d9dbbec4cc0e458e466/artifacts</t>
  </si>
  <si>
    <t>2026-05-16 08:05:24.235000+00:00</t>
  </si>
  <si>
    <t>2026-05-16 08:05:27.358000+00:00</t>
  </si>
  <si>
    <t>run.py --task_name classification --is_training 1 --root_path ./dataset/PEMS-SF/ --model_id PEMS-SF --model MambaSL --data UEA --e_layers 3 --batch_size 32 --d_model 128 --d_ff 256 --top_k 3 --des Exp --itr 1 --learning_rate 0.001 --train_epochs 1000 --patience 10 --seed 123 --id ae6016bbfbce5d6724d25c7f1232bfc5fb6ce89db4f2bee7d68e52188bb19e19</t>
  </si>
  <si>
    <t>ae6016bbfbce5d6724d25c7f1232bfc5fb6ce89db4f2bee7d68e52188bb19e19</t>
  </si>
  <si>
    <t>Namespace(task_name='classification', is_training=1, model_id='PEMS-SF', model='MambaSL',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id='ae6016bbfbce5d6724d25c7f1232bfc5fb6ce89db4f2bee7d68e52188bb19e19', device=device(type='cuda', index=0), num_class=7)</t>
  </si>
  <si>
    <t>classification_PEMS-SF_MambaSL_UEA_ftM_sl144_ll48_pl0_dm128_nh8_el3_dl1_df256_expand2_dc4_fc1_ebtimeF_dtTrue_Exp_0ae6016bbfbce5d6724d25c7f1232bfc5fb6ce89db4f2bee7d68e52188bb19e19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</si>
  <si>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'27322b81929043b08fcd4d4449daebd8',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'1778918519960462305', 'TRAIN_END': '1778918697094807013', 'TEST_START': '1778918697094860395', 'TEST_END': '1778918724184706461'}</t>
  </si>
  <si>
    <t>ae9f3aaf36b84417be423b73716a34fb</t>
  </si>
  <si>
    <t>mlflow-artifacts:/32/ae9f3aaf36b84417be423b73716a34fb/artifacts</t>
  </si>
  <si>
    <t>2026-05-16 08:04:19.416000+00:00</t>
  </si>
  <si>
    <t>2026-05-16 08:04:23.523000+00:00</t>
  </si>
  <si>
    <t>run.py --task_name classification --is_training 1 --root_path ./dataset/EthanolConcentration/ --model_id EthanolConcentration --model MambaSL --data UEA --e_layers 3 --batch_size 32 --d_model 128 --d_ff 256 --top_k 3 --des Exp --itr 1 --learning_rate 0.001 --train_epochs 1000 --patience 10 --seed 1234 --id 5b8f5ef46eae752ce2b2425b706a5986b2b5cd71bbf86ffa8ba066886d2553a8</t>
  </si>
  <si>
    <t>5b8f5ef46eae752ce2b2425b706a5986b2b5cd71bbf86ffa8ba066886d2553a8</t>
  </si>
  <si>
    <t>Namespace(task_name='classification', is_training=1, model_id='EthanolConcentration', model='MambaSL',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id='5b8f5ef46eae752ce2b2425b706a5986b2b5cd71bbf86ffa8ba066886d2553a8', device=device(type='cuda', index=0), num_class=4)</t>
  </si>
  <si>
    <t>classification_EthanolConcentration_MambaSL_UEA_ftM_sl1751_ll48_pl0_dm128_nh8_el3_dl1_df256_expand2_dc4_fc1_ebtimeF_dtTrue_Exp_05b8f5ef46eae752ce2b2425b706a5986b2b5cd71bbf86ffa8ba066886d2553a8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</si>
  <si>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'40db8d8c3b1e488abc888526f825a19a',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'1778918589864329102', 'TRAIN_END': '1778918657756399713', 'TEST_START': '1778918657756440312', 'TEST_END': '1778918659348039313'}</t>
  </si>
  <si>
    <t>7a9e713a8d2d4ceea4fa9fc8fd3b3773</t>
  </si>
  <si>
    <t>mlflow-artifacts:/32/7a9e713a8d2d4ceea4fa9fc8fd3b3773/artifacts</t>
  </si>
  <si>
    <t>2026-05-16 08:02:48.470000+00:00</t>
  </si>
  <si>
    <t>2026-05-16 08:02:51.664000+00:00</t>
  </si>
  <si>
    <t>run.py --task_name classification --is_training 1 --root_path ./dataset/UWaveGestureLibrary/ --model_id UWaveGestureLibrary --model MambaSL --data UEA --e_layers 3 --batch_size 32 --d_model 128 --d_ff 256 --top_k 3 --des Exp --itr 1 --learning_rate 0.001 --train_epochs 1000 --patience 10 --seed 1234 --id f1ad8246ffdf523819ad208674a5c808bb930d69f3ec304a0afb1d5aab6b2a47</t>
  </si>
  <si>
    <t>f1ad8246ffdf523819ad208674a5c808bb930d69f3ec304a0afb1d5aab6b2a47</t>
  </si>
  <si>
    <t>Namespace(task_name='classification', is_training=1, model_id='UWaveGestureLibrary', model='MambaSL',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id='f1ad8246ffdf523819ad208674a5c808bb930d69f3ec304a0afb1d5aab6b2a47', device=device(type='cuda', index=0), num_class=8)</t>
  </si>
  <si>
    <t>classification_UWaveGestureLibrary_MambaSL_UEA_ftM_sl315_ll48_pl0_dm128_nh8_el3_dl1_df256_expand2_dc4_fc1_ebtimeF_dtTrue_Exp_0f1ad8246ffdf523819ad208674a5c808bb930d69f3ec304a0afb1d5aab6b2a47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</si>
  <si>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'5a7a2adb0fd7405cbea99f972e9f9aeb',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'1778918388134257346', 'TRAIN_END': '1778918567783309600', 'TEST_START': '1778918567783405380', 'TEST_END': '1778918568423811251'}</t>
  </si>
  <si>
    <t>69cd7306348142babbadef390b0ea423</t>
  </si>
  <si>
    <t>mlflow-artifacts:/32/69cd7306348142babbadef390b0ea423/artifacts</t>
  </si>
  <si>
    <t>2026-05-16 07:59:31.857000+00:00</t>
  </si>
  <si>
    <t>2026-05-16 07:59:34.950000+00:00</t>
  </si>
  <si>
    <t>run.py --task_name classification --is_training 1 --root_path ./dataset/SpokenArabicDigits/ --model_id SpokenArabicDigits --model MambaSL --data UEA --e_layers 3 --batch_size 32 --d_model 128 --d_ff 256 --top_k 3 --des Exp --itr 1 --learning_rate 0.001 --train_epochs 1000 --patience 10 --seed 123 --id ec59c8f146b03a0e8ef532aa37fa8caf9a678a4f860275267a769c33464be450</t>
  </si>
  <si>
    <t>ec59c8f146b03a0e8ef532aa37fa8caf9a678a4f860275267a769c33464be450</t>
  </si>
  <si>
    <t>Namespace(task_name='classification', is_training=1, model_id='SpokenArabicDigits', model='MambaSL',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id='ec59c8f146b03a0e8ef532aa37fa8caf9a678a4f860275267a769c33464be450', device=device(type='cuda', index=0), num_class=10)</t>
  </si>
  <si>
    <t>classification_SpokenArabicDigits_MambaSL_UEA_ftM_sl93_ll48_pl0_dm128_nh8_el3_dl1_df256_expand2_dc4_fc1_ebtimeF_dtTrue_Exp_0ec59c8f146b03a0e8ef532aa37fa8caf9a678a4f860275267a769c33464be450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</si>
  <si>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'0f0ed112769945c18ac99e1eeb6acd42',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'1778918233119174135', 'TRAIN_END': '1778918366868878247', 'TEST_START': '1778918366868947350', 'TEST_END': '1778918371799389345'}</t>
  </si>
  <si>
    <t>cdd22f6d17404d1fa5720445f13b8810</t>
  </si>
  <si>
    <t>mlflow-artifacts:/32/cdd22f6d17404d1fa5720445f13b8810/artifacts</t>
  </si>
  <si>
    <t>2026-05-16 07:59:31.391000+00:00</t>
  </si>
  <si>
    <t>2026-05-16 07:59:36.763000+00:00</t>
  </si>
  <si>
    <t>run.py --task_name classification --is_training 1 --root_path ./dataset/FaceDetection/ --model_id FaceDetection --model MambaSL --data UEA --e_layers 3 --batch_size 32 --d_model 128 --d_ff 256 --top_k 3 --des Exp --itr 1 --learning_rate 0.001 --train_epochs 1000 --patience 10 --seed 123 --id 6ac21f17a48d571142285907ca100c8f7a84971dd413e150f61709cb2b52b355</t>
  </si>
  <si>
    <t>6ac21f17a48d571142285907ca100c8f7a84971dd413e150f61709cb2b52b355</t>
  </si>
  <si>
    <t>Namespace(task_name='classification', is_training=1, model_id='FaceDetection', model='MambaSL',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id='6ac21f17a48d571142285907ca100c8f7a84971dd413e150f61709cb2b52b355', device=device(type='cuda', index=0), num_class=2)</t>
  </si>
  <si>
    <t>classification_FaceDetection_MambaSL_UEA_ftM_sl62_ll48_pl0_dm128_nh8_el3_dl1_df256_expand2_dc4_fc1_ebtimeF_dtTrue_Exp_06ac21f17a48d571142285907ca100c8f7a84971dd413e150f61709cb2b52b355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</si>
  <si>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'1f2eeaf6e5ec4cc38ca4ac68556d948c',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'1778917979985427284', 'TRAIN_END': '1778918305314678930', 'TEST_START': '1778918305314749129', 'TEST_END': '1778918371331564753'}</t>
  </si>
  <si>
    <t>c855ba965a5941d4871f895b19a252e5</t>
  </si>
  <si>
    <t>mlflow-artifacts:/32/c855ba965a5941d4871f895b19a252e5/artifacts</t>
  </si>
  <si>
    <t>2026-05-16 07:56:35.390000+00:00</t>
  </si>
  <si>
    <t>2026-05-16 07:56:38.422000+00:00</t>
  </si>
  <si>
    <t>run.py --task_name classification --is_training 1 --root_path ./dataset/SelfRegulationSCP2/ --model_id SelfRegulationSCP2 --model MambaSL --data UEA --e_layers 3 --batch_size 32 --d_model 128 --d_ff 256 --top_k 3 --des Exp --itr 1 --learning_rate 0.001 --train_epochs 1000 --patience 10 --seed 123 --id 5755ccb5953b89d92d7522c99cad3b15131724c7e0a0655b43be71731f7d381e</t>
  </si>
  <si>
    <t>5755ccb5953b89d92d7522c99cad3b15131724c7e0a0655b43be71731f7d381e</t>
  </si>
  <si>
    <t>Namespace(task_name='classification', is_training=1, model_id='SelfRegulationSCP2', model='MambaSL',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id='5755ccb5953b89d92d7522c99cad3b15131724c7e0a0655b43be71731f7d381e', device=device(type='cuda', index=0), num_class=2)</t>
  </si>
  <si>
    <t>classification_SelfRegulationSCP2_MambaSL_UEA_ftM_sl1152_ll48_pl0_dm128_nh8_el3_dl1_df256_expand2_dc4_fc1_ebtimeF_dtTrue_Exp_05755ccb5953b89d92d7522c99cad3b15131724c7e0a0655b43be71731f7d381e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</si>
  <si>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'4f5abb52a83a41aa80df4d314d38dcdb',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'1778918147696330767', 'TRAIN_END': '1778918194040290404', 'TEST_START': '1778918194040340746', 'TEST_END': '1778918195344204232'}</t>
  </si>
  <si>
    <t>c87f33e197f14494ba008d1321be6f54</t>
  </si>
  <si>
    <t>mlflow-artifacts:/32/c87f33e197f14494ba008d1321be6f54/artifacts</t>
  </si>
  <si>
    <t>2026-05-16 07:55:27.320000+00:00</t>
  </si>
  <si>
    <t>2026-05-16 07:55:30.365000+00:00</t>
  </si>
  <si>
    <t>run.py --task_name classification --is_training 1 --root_path ./dataset/SelfRegulationSCP1/ --model_id SelfRegulationSCP1 --model MambaSL --data UEA --e_layers 3 --batch_size 32 --d_model 128 --d_ff 256 --top_k 3 --des Exp --itr 1 --learning_rate 0.001 --train_epochs 1000 --patience 10 --seed 123 --id 0386fb3b64633c3544dec67b6193cdb01901fa3ee42baf3c1411673dd5bc7aee</t>
  </si>
  <si>
    <t>0386fb3b64633c3544dec67b6193cdb01901fa3ee42baf3c1411673dd5bc7aee</t>
  </si>
  <si>
    <t>Namespace(task_name='classification', is_training=1, model_id='SelfRegulationSCP1', model='MambaSL',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id='0386fb3b64633c3544dec67b6193cdb01901fa3ee42baf3c1411673dd5bc7aee', device=device(type='cuda', index=0), num_class=2)</t>
  </si>
  <si>
    <t>classification_SelfRegulationSCP1_MambaSL_UEA_ftM_sl896_ll48_pl0_dm128_nh8_el3_dl1_df256_expand2_dc4_fc1_ebtimeF_dtTrue_Exp_00386fb3b64633c3544dec67b6193cdb01901fa3ee42baf3c1411673dd5bc7aee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</si>
  <si>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'9ad849bc798f41cdb40b6fb1553fcd64',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'1778918108070843415', 'TRAIN_END': '1778918126174201575', 'TEST_START': '1778918126174273479', 'TEST_END': '1778918127263912326'}</t>
  </si>
  <si>
    <t>b7ffc47308044cadb72a98170e4bc9c8</t>
  </si>
  <si>
    <t>mlflow-artifacts:/32/b7ffc47308044cadb72a98170e4bc9c8/artifacts</t>
  </si>
  <si>
    <t>2026-05-16 07:54:49.042000+00:00</t>
  </si>
  <si>
    <t>2026-05-16 07:54:51.975000+00:00</t>
  </si>
  <si>
    <t>run.py --task_name classification --is_training 1 --root_path ./dataset/JapaneseVowels/ --model_id JapaneseVowels --model MambaSL --data UEA --e_layers 3 --batch_size 32 --d_model 128 --d_ff 256 --top_k 3 --des Exp --itr 1 --learning_rate 0.001 --train_epochs 1000 --patience 10 --seed 123 --id 28eaeac662ac419d54c7c14788410cea7829ddd8c115f3894dbfc61041797061</t>
  </si>
  <si>
    <t>28eaeac662ac419d54c7c14788410cea7829ddd8c115f3894dbfc61041797061</t>
  </si>
  <si>
    <t>Namespace(task_name='classification', is_training=1, model_id='JapaneseVowels', model='MambaSL',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id='28eaeac662ac419d54c7c14788410cea7829ddd8c115f3894dbfc61041797061', device=device(type='cuda', index=0), num_class=9)</t>
  </si>
  <si>
    <t>classification_JapaneseVowels_MambaSL_UEA_ftM_sl29_ll48_pl0_dm128_nh8_el3_dl1_df256_expand2_dc4_fc1_ebtimeF_dtTrue_Exp_028eaeac662ac419d54c7c14788410cea7829ddd8c115f3894dbfc61041797061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</si>
  <si>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'6d2510704dfa46a0940ff67e2f29e498',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'1778918037018085236', 'TRAIN_END': '1778918087821217351', 'TEST_START': '1778918087821324695', 'TEST_END': '1778918088998359065'}</t>
  </si>
  <si>
    <t>f477460616174eeeaa3e2db3fe570abe</t>
  </si>
  <si>
    <t>mlflow-artifacts:/32/f477460616174eeeaa3e2db3fe570abe/artifacts</t>
  </si>
  <si>
    <t>2026-05-16 07:53:42.176000+00:00</t>
  </si>
  <si>
    <t>2026-05-16 07:53:45.174000+00:00</t>
  </si>
  <si>
    <t>run.py --task_name classification --is_training 1 --root_path ./dataset/Heartbeat/ --model_id Heartbeat --model MambaSL --data UEA --e_layers 3 --batch_size 32 --d_model 128 --d_ff 256 --top_k 3 --des Exp --itr 1 --learning_rate 0.001 --train_epochs 1000 --patience 10 --seed 123 --id caae27a2e6502ac7212b49ff3d5f3f65acbd59bf9d3649e7c0074ff725cade3c</t>
  </si>
  <si>
    <t>caae27a2e6502ac7212b49ff3d5f3f65acbd59bf9d3649e7c0074ff725cade3c</t>
  </si>
  <si>
    <t>Namespace(task_name='classification', is_training=1, model_id='Heartbeat', model='MambaSL',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id='caae27a2e6502ac7212b49ff3d5f3f65acbd59bf9d3649e7c0074ff725cade3c', device=device(type='cuda', index=0), num_class=2)</t>
  </si>
  <si>
    <t>classification_Heartbeat_MambaSL_UEA_ftM_sl405_ll48_pl0_dm128_nh8_el3_dl1_df256_expand2_dc4_fc1_ebtimeF_dtTrue_Exp_0caae27a2e6502ac7212b49ff3d5f3f65acbd59bf9d3649e7c0074ff725cade3c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</si>
  <si>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'21cb85e45df849c7baf60d195fd819ba',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'1778917973710933365', 'TRAIN_END': '1778918018924296717', 'TEST_START': '1778918018924351225', 'TEST_END': '1778918022122898254'}</t>
  </si>
  <si>
    <t>cdb396b6683d41c7bf1495ba71a33d77</t>
  </si>
  <si>
    <t>mlflow-artifacts:/32/cdb396b6683d41c7bf1495ba71a33d77/artifacts</t>
  </si>
  <si>
    <t>2026-05-16 07:52:24.046000+00:00</t>
  </si>
  <si>
    <t>2026-05-16 07:52:27.256000+00:00</t>
  </si>
  <si>
    <t>run.py --task_name classification --is_training 1 --root_path ./dataset/Handwriting/ --model_id Handwriting --model MambaSL --data UEA --e_layers 3 --batch_size 32 --d_model 128 --d_ff 256 --top_k 3 --des Exp --itr 1 --learning_rate 0.001 --train_epochs 1000 --patience 10 --seed 123 --id 1ca216415334ce01ea17d0f599d5cc7b1124cebe9046f60675453cafae784f57</t>
  </si>
  <si>
    <t>1ca216415334ce01ea17d0f599d5cc7b1124cebe9046f60675453cafae784f57</t>
  </si>
  <si>
    <t>Namespace(task_name='classification', is_training=1, model_id='Handwriting', model='MambaSL',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id='1ca216415334ce01ea17d0f599d5cc7b1124cebe9046f60675453cafae784f57', device=device(type='cuda', index=0), num_class=26)</t>
  </si>
  <si>
    <t>classification_Handwriting_MambaSL_UEA_ftM_sl152_ll48_pl0_dm128_nh8_el3_dl1_df256_expand2_dc4_fc1_ebtimeF_dtTrue_Exp_01ca216415334ce01ea17d0f599d5cc7b1124cebe9046f60675453cafae784f57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</si>
  <si>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'71e3b4b908b14a9586c4f0a3d4ed491e',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'1778917816368509178', 'TRAIN_END': '1778917942643830286', 'TEST_START': '1778917942643921520', 'TEST_END': '1778917943998555730'}</t>
  </si>
  <si>
    <t>c9301cecd3614a0d934389466fd86d62</t>
  </si>
  <si>
    <t>mlflow-artifacts:/32/c9301cecd3614a0d934389466fd86d62/artifacts</t>
  </si>
  <si>
    <t>2026-05-16 07:50:00.371000+00:00</t>
  </si>
  <si>
    <t>2026-05-16 07:50:04.558000+00:00</t>
  </si>
  <si>
    <t>run.py --task_name classification --is_training 1 --root_path ./dataset/PEMS-SF/ --model_id PEMS-SF --model MambaSL --data UEA --e_layers 3 --batch_size 32 --d_model 128 --d_ff 256 --top_k 3 --des Exp --itr 1 --learning_rate 0.001 --train_epochs 1000 --patience 10 --seed 42 --id a406b05ee9e17629642db4c77e01a8235134747b39a4e07d0fd725159d8b779f</t>
  </si>
  <si>
    <t>a406b05ee9e17629642db4c77e01a8235134747b39a4e07d0fd725159d8b779f</t>
  </si>
  <si>
    <t>Namespace(task_name='classification', is_training=1, model_id='PEMS-SF', model='MambaSL',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id='a406b05ee9e17629642db4c77e01a8235134747b39a4e07d0fd725159d8b779f', device=device(type='cuda', index=0), num_class=7)</t>
  </si>
  <si>
    <t>classification_PEMS-SF_MambaSL_UEA_ftM_sl144_ll48_pl0_dm128_nh8_el3_dl1_df256_expand2_dc4_fc1_ebtimeF_dtTrue_Exp_0a406b05ee9e17629642db4c77e01a8235134747b39a4e07d0fd725159d8b779f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</si>
  <si>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'070458a72298402599a6b0b1979405c1',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'1778917607037802325', 'TRAIN_END': '1778917772819042077', 'TEST_START': '1778917772819107249', 'TEST_END': '1778917800321696805'}</t>
  </si>
  <si>
    <t>72b2f501d89a4fcf8ea9cbebd49285d3</t>
  </si>
  <si>
    <t>mlflow-artifacts:/32/72b2f501d89a4fcf8ea9cbebd49285d3/artifacts</t>
  </si>
  <si>
    <t>2026-05-16 07:48:06.861000+00:00</t>
  </si>
  <si>
    <t>2026-05-16 07:48:09.905000+00:00</t>
  </si>
  <si>
    <t>run.py --task_name classification --is_training 1 --root_path ./dataset/EthanolConcentration/ --model_id EthanolConcentration --model MambaSL --data UEA --e_layers 3 --batch_size 32 --d_model 128 --d_ff 256 --top_k 3 --des Exp --itr 1 --learning_rate 0.001 --train_epochs 1000 --patience 10 --seed 123 --id 220dd8ba1c134475e6cad15e6803fe334b00d8e5dee3764d2c6f5be990e968f0</t>
  </si>
  <si>
    <t>220dd8ba1c134475e6cad15e6803fe334b00d8e5dee3764d2c6f5be990e968f0</t>
  </si>
  <si>
    <t>Namespace(task_name='classification', is_training=1, model_id='EthanolConcentration', model='MambaSL',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id='220dd8ba1c134475e6cad15e6803fe334b00d8e5dee3764d2c6f5be990e968f0', device=device(type='cuda', index=0), num_class=4)</t>
  </si>
  <si>
    <t>classification_EthanolConcentration_MambaSL_UEA_ftM_sl1751_ll48_pl0_dm128_nh8_el3_dl1_df256_expand2_dc4_fc1_ebtimeF_dtTrue_Exp_0220dd8ba1c134475e6cad15e6803fe334b00d8e5dee3764d2c6f5be990e968f0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</si>
  <si>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'c1bf44879e104a329bb273b8aeb4558b',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'1778917647631843060', 'TRAIN_END': '1778917685440706630', 'TEST_START': '1778917685440785939', 'TEST_END': '1778917686810507193'}</t>
  </si>
  <si>
    <t>9e94275b8124426fa705de232ea327b8</t>
  </si>
  <si>
    <t>mlflow-artifacts:/32/9e94275b8124426fa705de232ea327b8/artifacts</t>
  </si>
  <si>
    <t>2026-05-16 07:47:09.409000+00:00</t>
  </si>
  <si>
    <t>2026-05-16 07:47:12.387000+00:00</t>
  </si>
  <si>
    <t>run.py --task_name classification --is_training 1 --root_path ./dataset/UWaveGestureLibrary/ --model_id UWaveGestureLibrary --model MambaSL --data UEA --e_layers 3 --batch_size 32 --d_model 128 --d_ff 256 --top_k 3 --des Exp --itr 1 --learning_rate 0.001 --train_epochs 1000 --patience 10 --seed 123 --id 87beacc0bc4b09edbdae8c68f322d1b072d676394e4f930e04230b1a891fbc5d</t>
  </si>
  <si>
    <t>87beacc0bc4b09edbdae8c68f322d1b072d676394e4f930e04230b1a891fbc5d</t>
  </si>
  <si>
    <t>Namespace(task_name='classification', is_training=1, model_id='UWaveGestureLibrary', model='MambaSL',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id='87beacc0bc4b09edbdae8c68f322d1b072d676394e4f930e04230b1a891fbc5d', device=device(type='cuda', index=0), num_class=8)</t>
  </si>
  <si>
    <t>classification_UWaveGestureLibrary_MambaSL_UEA_ftM_sl315_ll48_pl0_dm128_nh8_el3_dl1_df256_expand2_dc4_fc1_ebtimeF_dtTrue_Exp_087beacc0bc4b09edbdae8c68f322d1b072d676394e4f930e04230b1a891fbc5d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</si>
  <si>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'ec8693128dc2417d93c6204b1942c94f',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'1778917554538493181', 'TRAIN_END': '1778917628596733261', 'TEST_START': '1778917628596784535', 'TEST_END': '1778917629362263934'}</t>
  </si>
  <si>
    <t>936846bd21004b219fb9ab291427b2f9</t>
  </si>
  <si>
    <t>mlflow-artifacts:/32/936846bd21004b219fb9ab291427b2f9/artifacts</t>
  </si>
  <si>
    <t>2026-05-16 07:45:37.664000+00:00</t>
  </si>
  <si>
    <t>2026-05-16 07:45:40.892000+00:00</t>
  </si>
  <si>
    <t>run.py --task_name classification --is_training 1 --root_path ./dataset/FaceDetection/ --model_id FaceDetection --model MambaSL --data UEA --e_layers 3 --batch_size 32 --d_model 128 --d_ff 256 --top_k 3 --des Exp --itr 1 --learning_rate 0.001 --train_epochs 1000 --patience 10 --seed 42 --id e19d1b1eb08912124c95a26d740fc6fa66f286bdb9b3342eef9376011e9827bf</t>
  </si>
  <si>
    <t>e19d1b1eb08912124c95a26d740fc6fa66f286bdb9b3342eef9376011e9827bf</t>
  </si>
  <si>
    <t>Namespace(task_name='classification', is_training=1, model_id='FaceDetection', model='MambaSL',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id='e19d1b1eb08912124c95a26d740fc6fa66f286bdb9b3342eef9376011e9827bf', device=device(type='cuda', index=0), num_class=2)</t>
  </si>
  <si>
    <t>classification_FaceDetection_MambaSL_UEA_ftM_sl62_ll48_pl0_dm128_nh8_el3_dl1_df256_expand2_dc4_fc1_ebtimeF_dtTrue_Exp_0e19d1b1eb08912124c95a26d740fc6fa66f286bdb9b3342eef9376011e9827bf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</si>
  <si>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'ef4d5fa98b43439d9fdf968d60ec4d88',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'1778917144784263108', 'TRAIN_END': '1778917470486408363', 'TEST_START': '1778917470486481500', 'TEST_END': '1778917537616258135'}</t>
  </si>
  <si>
    <t>eaede63df5bd43a69dbeb06fa693ff4f</t>
  </si>
  <si>
    <t>mlflow-artifacts:/32/eaede63df5bd43a69dbeb06fa693ff4f/artifacts</t>
  </si>
  <si>
    <t>2026-05-16 07:44:14.212000+00:00</t>
  </si>
  <si>
    <t>2026-05-16 07:44:17.981000+00:00</t>
  </si>
  <si>
    <t>run.py --task_name classification --is_training 1 --root_path ./dataset/SpokenArabicDigits/ --model_id SpokenArabicDigits --model MambaSL --data UEA --e_layers 3 --batch_size 32 --d_model 128 --d_ff 256 --top_k 3 --des Exp --itr 1 --learning_rate 0.001 --train_epochs 1000 --patience 10 --seed 42 --id b91697dad3116f49b9d649c622186fce332b1cab7ce3c42c5050f5ea1104eca2</t>
  </si>
  <si>
    <t>b91697dad3116f49b9d649c622186fce332b1cab7ce3c42c5050f5ea1104eca2</t>
  </si>
  <si>
    <t>Namespace(task_name='classification', is_training=1, model_id='SpokenArabicDigits', model='MambaSL',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id='b91697dad3116f49b9d649c622186fce332b1cab7ce3c42c5050f5ea1104eca2', device=device(type='cuda', index=0), num_class=10)</t>
  </si>
  <si>
    <t>classification_SpokenArabicDigits_MambaSL_UEA_ftM_sl93_ll48_pl0_dm128_nh8_el3_dl1_df256_expand2_dc4_fc1_ebtimeF_dtTrue_Exp_0b91697dad3116f49b9d649c622186fce332b1cab7ce3c42c5050f5ea1104eca2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</si>
  <si>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'4370003274d84099b761b50857424d12',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'1778917334990621417', 'TRAIN_END': '1778917448811984444', 'TEST_START': '1778917448812101553', 'TEST_END': '1778917454160758284'}</t>
  </si>
  <si>
    <t>58262c45fa7a41c4bc9c721c8335c439</t>
  </si>
  <si>
    <t>mlflow-artifacts:/32/58262c45fa7a41c4bc9c721c8335c439/artifacts</t>
  </si>
  <si>
    <t>2026-05-16 07:41:37.109000+00:00</t>
  </si>
  <si>
    <t>2026-05-16 07:41:40.071000+00:00</t>
  </si>
  <si>
    <t>run.py --task_name classification --is_training 1 --root_path ./dataset/SelfRegulationSCP2/ --model_id SelfRegulationSCP2 --model MambaSL --data UEA --e_layers 3 --batch_size 32 --d_model 128 --d_ff 256 --top_k 3 --des Exp --itr 1 --learning_rate 0.001 --train_epochs 1000 --patience 10 --seed 42 --id ed664326753e0da203a40228fbdc820ed79589f70aba8a5404ee1c013ffa0021</t>
  </si>
  <si>
    <t>ed664326753e0da203a40228fbdc820ed79589f70aba8a5404ee1c013ffa0021</t>
  </si>
  <si>
    <t>Namespace(task_name='classification', is_training=1, model_id='SelfRegulationSCP2', model='MambaSL',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id='ed664326753e0da203a40228fbdc820ed79589f70aba8a5404ee1c013ffa0021', device=device(type='cuda', index=0), num_class=2)</t>
  </si>
  <si>
    <t>classification_SelfRegulationSCP2_MambaSL_UEA_ftM_sl1152_ll48_pl0_dm128_nh8_el3_dl1_df256_expand2_dc4_fc1_ebtimeF_dtTrue_Exp_0ed664326753e0da203a40228fbdc820ed79589f70aba8a5404ee1c013ffa0021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</si>
  <si>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'f3b1f2dea476426b96f560e7ee1777d6',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'1778917255494360320', 'TRAIN_END': '1778917295856721778', 'TEST_START': '1778917295856816494', 'TEST_END': '1778917297040384440'}</t>
  </si>
  <si>
    <t>f7a648cb8bf5418789a4cd878b045f3c</t>
  </si>
  <si>
    <t>mlflow-artifacts:/32/f7a648cb8bf5418789a4cd878b045f3c/artifacts</t>
  </si>
  <si>
    <t>2026-05-16 07:40:36.739000+00:00</t>
  </si>
  <si>
    <t>2026-05-16 07:40:39.693000+00:00</t>
  </si>
  <si>
    <t>run.py --task_name classification --is_training 1 --root_path ./dataset/SelfRegulationSCP1/ --model_id SelfRegulationSCP1 --model MambaSL --data UEA --e_layers 3 --batch_size 32 --d_model 128 --d_ff 256 --top_k 3 --des Exp --itr 1 --learning_rate 0.001 --train_epochs 1000 --patience 10 --seed 42 --id ffaa02e335ddaf7fe9f98bd55efff4974d7653e7521e9355a9a30f443ada44bb</t>
  </si>
  <si>
    <t>ffaa02e335ddaf7fe9f98bd55efff4974d7653e7521e9355a9a30f443ada44bb</t>
  </si>
  <si>
    <t>Namespace(task_name='classification', is_training=1, model_id='SelfRegulationSCP1', model='MambaSL',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id='ffaa02e335ddaf7fe9f98bd55efff4974d7653e7521e9355a9a30f443ada44bb', device=device(type='cuda', index=0), num_class=2)</t>
  </si>
  <si>
    <t>classification_SelfRegulationSCP1_MambaSL_UEA_ftM_sl896_ll48_pl0_dm128_nh8_el3_dl1_df256_expand2_dc4_fc1_ebtimeF_dtTrue_Exp_0ffaa02e335ddaf7fe9f98bd55efff4974d7653e7521e9355a9a30f443ada44bb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</si>
  <si>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'0663c1f0c9084d238b92f747d10ff17f',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'1778917182618678399', 'TRAIN_END': '1778917235597257846', 'TEST_START': '1778917235597337430', 'TEST_END': '1778917236693706663'}</t>
  </si>
  <si>
    <t>2e18d64a2b5b44d5920dffb339c2313d</t>
  </si>
  <si>
    <t>mlflow-artifacts:/32/2e18d64a2b5b44d5920dffb339c2313d/artifacts</t>
  </si>
  <si>
    <t>2026-05-16 07:39:24.792000+00:00</t>
  </si>
  <si>
    <t>2026-05-16 07:39:27.936000+00:00</t>
  </si>
  <si>
    <t>run.py --task_name classification --is_training 1 --root_path ./dataset/JapaneseVowels/ --model_id JapaneseVowels --model MambaSL --data UEA --e_layers 3 --batch_size 32 --d_model 128 --d_ff 256 --top_k 3 --des Exp --itr 1 --learning_rate 0.001 --train_epochs 1000 --patience 10 --seed 42 --id 8426b404ec44f5cbf5513b06950f87dd56e6703e5afc606252bafd9077a29ebe</t>
  </si>
  <si>
    <t>8426b404ec44f5cbf5513b06950f87dd56e6703e5afc606252bafd9077a29ebe</t>
  </si>
  <si>
    <t>Namespace(task_name='classification', is_training=1, model_id='JapaneseVowels', model='MambaSL',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id='8426b404ec44f5cbf5513b06950f87dd56e6703e5afc606252bafd9077a29ebe', device=device(type='cuda', index=0), num_class=9)</t>
  </si>
  <si>
    <t>classification_JapaneseVowels_MambaSL_UEA_ftM_sl29_ll48_pl0_dm128_nh8_el3_dl1_df256_expand2_dc4_fc1_ebtimeF_dtTrue_Exp_08426b404ec44f5cbf5513b06950f87dd56e6703e5afc606252bafd9077a29ebe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</si>
  <si>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'00dcb632e92447cfb0bc0e4790beba55',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'1778917087929148197', 'TRAIN_END': '1778917163433368678', 'TEST_START': '1778917163433458799', 'TEST_END': '1778917164739906085'}</t>
  </si>
  <si>
    <t>92ea58a78d9a44d0bd51360f4b4ed4fc</t>
  </si>
  <si>
    <t>mlflow-artifacts:/32/92ea58a78d9a44d0bd51360f4b4ed4fc/artifacts</t>
  </si>
  <si>
    <t>2026-05-16 07:37:52.020000+00:00</t>
  </si>
  <si>
    <t>2026-05-16 07:37:55.036000+00:00</t>
  </si>
  <si>
    <t>run.py --task_name classification --is_training 1 --root_path ./dataset/Heartbeat/ --model_id Heartbeat --model MambaSL --data UEA --e_layers 3 --batch_size 32 --d_model 128 --d_ff 256 --top_k 3 --des Exp --itr 1 --learning_rate 0.001 --train_epochs 1000 --patience 10 --seed 42 --id 6557177c8ea44e04bbf6373ba3fbd835385228a3033c3187b12396f70ca19f33</t>
  </si>
  <si>
    <t>6557177c8ea44e04bbf6373ba3fbd835385228a3033c3187b12396f70ca19f33</t>
  </si>
  <si>
    <t>Namespace(task_name='classification', is_training=1, model_id='Heartbeat', model='MambaSL',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id='6557177c8ea44e04bbf6373ba3fbd835385228a3033c3187b12396f70ca19f33', device=device(type='cuda', index=0), num_class=2)</t>
  </si>
  <si>
    <t>classification_Heartbeat_MambaSL_UEA_ftM_sl405_ll48_pl0_dm128_nh8_el3_dl1_df256_expand2_dc4_fc1_ebtimeF_dtTrue_Exp_06557177c8ea44e04bbf6373ba3fbd835385228a3033c3187b12396f70ca19f33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</si>
  <si>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'412f2a55572a483f87608fc53dfb70a8',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'1778917025143884705', 'TRAIN_END': '1778917068772815269', 'TEST_START': '1778917068772887451', 'TEST_END': '1778917071973443249'}</t>
  </si>
  <si>
    <t>ea719ddd1adb4339b658b53334308b5d</t>
  </si>
  <si>
    <t>mlflow-artifacts:/32/ea719ddd1adb4339b658b53334308b5d/artifacts</t>
  </si>
  <si>
    <t>2026-05-16 07:36:35.610000+00:00</t>
  </si>
  <si>
    <t>2026-05-16 07:36:38.804000+00:00</t>
  </si>
  <si>
    <t>run.py --task_name classification --is_training 1 --root_path ./dataset/Handwriting/ --model_id Handwriting --model MambaSL --data UEA --e_layers 3 --batch_size 32 --d_model 128 --d_ff 256 --top_k 3 --des Exp --itr 1 --learning_rate 0.001 --train_epochs 1000 --patience 10 --seed 42 --id b700b2eb3194c114fb78dc6b047ca34fb5d6503819b7249bae6c12648b029d22</t>
  </si>
  <si>
    <t>b700b2eb3194c114fb78dc6b047ca34fb5d6503819b7249bae6c12648b029d22</t>
  </si>
  <si>
    <t>Namespace(task_name='classification', is_training=1, model_id='Handwriting', model='MambaSL',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id='b700b2eb3194c114fb78dc6b047ca34fb5d6503819b7249bae6c12648b029d22', device=device(type='cuda', index=0), num_class=26)</t>
  </si>
  <si>
    <t>classification_Handwriting_MambaSL_UEA_ftM_sl152_ll48_pl0_dm128_nh8_el3_dl1_df256_expand2_dc4_fc1_ebtimeF_dtTrue_Exp_0b700b2eb3194c114fb78dc6b047ca34fb5d6503819b7249bae6c12648b029d22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</si>
  <si>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'dcc52f2663f845febe1200cd52ef9509',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'1778916892598870317', 'TRAIN_END': '1778916994252812223', 'TEST_START': '1778916994252882152', 'TEST_END': '1778916995565817534'}</t>
  </si>
  <si>
    <t>57a3f594409746148e8d6dd405bf4456</t>
  </si>
  <si>
    <t>mlflow-artifacts:/32/57a3f594409746148e8d6dd405bf4456/artifacts</t>
  </si>
  <si>
    <t>2026-05-16 07:34:36.379000+00:00</t>
  </si>
  <si>
    <t>2026-05-16 07:34:40.054000+00:00</t>
  </si>
  <si>
    <t>run.py --task_name classification --is_training 1 --root_path ./dataset/EthanolConcentration/ --model_id EthanolConcentration --model MambaSL --data UEA --e_layers 3 --batch_size 32 --d_model 128 --d_ff 256 --top_k 3 --des Exp --itr 1 --learning_rate 0.001 --train_epochs 1000 --patience 10 --seed 42 --id 4bf22e47115dfa1b03a56d79ac97b68bdbe084c5e5b9926f013cd0c25a90bda6</t>
  </si>
  <si>
    <t>4bf22e47115dfa1b03a56d79ac97b68bdbe084c5e5b9926f013cd0c25a90bda6</t>
  </si>
  <si>
    <t>Namespace(task_name='classification', is_training=1, model_id='EthanolConcentration', model='MambaSL',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id='4bf22e47115dfa1b03a56d79ac97b68bdbe084c5e5b9926f013cd0c25a90bda6', device=device(type='cuda', index=0), num_class=4)</t>
  </si>
  <si>
    <t>classification_EthanolConcentration_MambaSL_UEA_ftM_sl1751_ll48_pl0_dm128_nh8_el3_dl1_df256_expand2_dc4_fc1_ebtimeF_dtTrue_Exp_04bf22e47115dfa1b03a56d79ac97b68bdbe084c5e5b9926f013cd0c25a90bda6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</si>
  <si>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'992e32b9c412498982f2f9a43937e0b3',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'1778916825435646341', 'TRAIN_END': '1778916874864653618', 'TEST_START': '1778916874864754251', 'TEST_END': '1778916876330009019'}</t>
  </si>
  <si>
    <t>8051dcd2f711462dabaa7824a6901f12</t>
  </si>
  <si>
    <t>mlflow-artifacts:/32/8051dcd2f711462dabaa7824a6901f12/artifacts</t>
  </si>
  <si>
    <t>2026-05-16 07:33:40.466000+00:00</t>
  </si>
  <si>
    <t>2026-05-16 07:33:43.608000+00:00</t>
  </si>
  <si>
    <t>run.py --task_name classification --is_training 1 --root_path ./dataset/PEMS-SF/ --model_id PEMS-SF --model MambaSL --data UEA --e_layers 3 --batch_size 32 --d_model 128 --d_ff 256 --top_k 3 --des Exp --itr 1 --learning_rate 0.001 --train_epochs 1000 --patience 10 --seed 7 --id cef6546eda7b7381acbd061fb5b0ff813f50350966afdccf4418df62ce854173</t>
  </si>
  <si>
    <t>cef6546eda7b7381acbd061fb5b0ff813f50350966afdccf4418df62ce854173</t>
  </si>
  <si>
    <t>Namespace(task_name='classification', is_training=1, model_id='PEMS-SF', model='MambaSL',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id='cef6546eda7b7381acbd061fb5b0ff813f50350966afdccf4418df62ce854173', device=device(type='cuda', index=0), num_class=7)</t>
  </si>
  <si>
    <t>classification_PEMS-SF_MambaSL_UEA_ftM_sl144_ll48_pl0_dm128_nh8_el3_dl1_df256_expand2_dc4_fc1_ebtimeF_dtTrue_Exp_0cef6546eda7b7381acbd061fb5b0ff813f50350966afdccf4418df62ce854173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</si>
  <si>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'9248796b613d4ce385cd4dfffc4e41fe',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'1778916652951649252', 'TRAIN_END': '1778916792290301774', 'TEST_START': '1778916792290371042', 'TEST_END': '1778916820422138376'}</t>
  </si>
  <si>
    <t>6278febdd1ad42e8a3b10f1eb9f23f89</t>
  </si>
  <si>
    <t>mlflow-artifacts:/32/6278febdd1ad42e8a3b10f1eb9f23f89/artifacts</t>
  </si>
  <si>
    <t>2026-05-16 07:33:28.186000+00:00</t>
  </si>
  <si>
    <t>2026-05-16 07:33:31.191000+00:00</t>
  </si>
  <si>
    <t>run.py --task_name classification --is_training 1 --root_path ./dataset/UWaveGestureLibrary/ --model_id UWaveGestureLibrary --model MambaSL --data UEA --e_layers 3 --batch_size 32 --d_model 128 --d_ff 256 --top_k 3 --des Exp --itr 1 --learning_rate 0.001 --train_epochs 1000 --patience 10 --seed 42 --id 3f4d97d021eff78c0038059db3a6ae804880c76b3a55e3284b0f3d7dbf1ba41e</t>
  </si>
  <si>
    <t>3f4d97d021eff78c0038059db3a6ae804880c76b3a55e3284b0f3d7dbf1ba41e</t>
  </si>
  <si>
    <t>Namespace(task_name='classification', is_training=1, model_id='UWaveGestureLibrary', model='MambaSL',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id='3f4d97d021eff78c0038059db3a6ae804880c76b3a55e3284b0f3d7dbf1ba41e', device=device(type='cuda', index=0), num_class=8)</t>
  </si>
  <si>
    <t>classification_UWaveGestureLibrary_MambaSL_UEA_ftM_sl315_ll48_pl0_dm128_nh8_el3_dl1_df256_expand2_dc4_fc1_ebtimeF_dtTrue_Exp_03f4d97d021eff78c0038059db3a6ae804880c76b3a55e3284b0f3d7dbf1ba41e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</si>
  <si>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'd9ccbf95f66b430982833708181a43c7',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'1778916721567996975', 'TRAIN_END': '1778916807403165768', 'TEST_START': '1778916807403222627', 'TEST_END': '1778916808138337635'}</t>
  </si>
  <si>
    <t>e328fc30f70d4baaae7da843cc63640e</t>
  </si>
  <si>
    <t>mlflow-artifacts:/32/e328fc30f70d4baaae7da843cc63640e/artifacts</t>
  </si>
  <si>
    <t>2026-05-16 07:31:06.201000+00:00</t>
  </si>
  <si>
    <t>2026-05-16 07:31:10.597000+00:00</t>
  </si>
  <si>
    <t>run.py --task_name classification --is_training 1 --root_path ./dataset/FaceDetection/ --model_id FaceDetection --model MambaSL --data UEA --e_layers 3 --batch_size 32 --d_model 128 --d_ff 256 --top_k 3 --des Exp --itr 1 --learning_rate 0.001 --train_epochs 1000 --patience 10 --seed 7 --id 88c78419076cc6419bcd504e9dd47ea5db32b9201b1b20dd59d9083bc6a107e4</t>
  </si>
  <si>
    <t>88c78419076cc6419bcd504e9dd47ea5db32b9201b1b20dd59d9083bc6a107e4</t>
  </si>
  <si>
    <t>Namespace(task_name='classification', is_training=1, model_id='FaceDetection', model='MambaSL',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id='88c78419076cc6419bcd504e9dd47ea5db32b9201b1b20dd59d9083bc6a107e4', device=device(type='cuda', index=0), num_class=2)</t>
  </si>
  <si>
    <t>classification_FaceDetection_MambaSL_UEA_ftM_sl62_ll48_pl0_dm128_nh8_el3_dl1_df256_expand2_dc4_fc1_ebtimeF_dtTrue_Exp_088c78419076cc6419bcd504e9dd47ea5db32b9201b1b20dd59d9083bc6a107e4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</si>
  <si>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'd3eb108bbae94bd2abbe8941370744e5',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'1778916291760333877', 'TRAIN_END': '1778916598594983703', 'TEST_START': '1778916598595049736', 'TEST_END': '1778916666156077133'}</t>
  </si>
  <si>
    <t>520b5ae6ff8945ba816fd4b60f12d6ef</t>
  </si>
  <si>
    <t>mlflow-artifacts:/32/520b5ae6ff8945ba816fd4b60f12d6ef/artifacts</t>
  </si>
  <si>
    <t>2026-05-16 07:28:22.257000+00:00</t>
  </si>
  <si>
    <t>2026-05-16 07:28:26.421000+00:00</t>
  </si>
  <si>
    <t>run.py --task_name classification --is_training 1 --root_path ./dataset/SpokenArabicDigits/ --model_id SpokenArabicDigits --model MambaSL --data UEA --e_layers 3 --batch_size 32 --d_model 128 --d_ff 256 --top_k 3 --des Exp --itr 1 --learning_rate 0.001 --train_epochs 1000 --patience 10 --seed 7 --id 0b1fc9dee0352c5abdacf3940da8395ebf37608f6605c26cc19f10a740005136</t>
  </si>
  <si>
    <t>0b1fc9dee0352c5abdacf3940da8395ebf37608f6605c26cc19f10a740005136</t>
  </si>
  <si>
    <t>Namespace(task_name='classification', is_training=1, model_id='SpokenArabicDigits', model='MambaSL',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id='0b1fc9dee0352c5abdacf3940da8395ebf37608f6605c26cc19f10a740005136', device=device(type='cuda', index=0), num_class=10)</t>
  </si>
  <si>
    <t>classification_SpokenArabicDigits_MambaSL_UEA_ftM_sl93_ll48_pl0_dm128_nh8_el3_dl1_df256_expand2_dc4_fc1_ebtimeF_dtTrue_Exp_00b1fc9dee0352c5abdacf3940da8395ebf37608f6605c26cc19f10a740005136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</si>
  <si>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'5d3ade37ef164e35acfb65389c9f07ee',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'1778916344713324212', 'TRAIN_END': '1778916497078458016', 'TEST_START': '1778916497078553461', 'TEST_END': '1778916502206229349'}</t>
  </si>
  <si>
    <t>aa3a11d99d72470db11fde024df407b0</t>
  </si>
  <si>
    <t>mlflow-artifacts:/32/aa3a11d99d72470db11fde024df407b0/artifacts</t>
  </si>
  <si>
    <t>2026-05-16 07:25:07.056000+00:00</t>
  </si>
  <si>
    <t>2026-05-16 07:25:10.056000+00:00</t>
  </si>
  <si>
    <t>run.py --task_name classification --is_training 1 --root_path ./dataset/SelfRegulationSCP2/ --model_id SelfRegulationSCP2 --model MambaSL --data UEA --e_layers 3 --batch_size 32 --d_model 128 --d_ff 256 --top_k 3 --des Exp --itr 1 --learning_rate 0.001 --train_epochs 1000 --patience 10 --seed 7 --id 53ec68f8f58b9e549ceb8e85d9705faf4718a2ef8fafdb8ee1b836e6da74a64d</t>
  </si>
  <si>
    <t>53ec68f8f58b9e549ceb8e85d9705faf4718a2ef8fafdb8ee1b836e6da74a64d</t>
  </si>
  <si>
    <t>Namespace(task_name='classification', is_training=1, model_id='SelfRegulationSCP2', model='MambaSL',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id='53ec68f8f58b9e549ceb8e85d9705faf4718a2ef8fafdb8ee1b836e6da74a64d', device=device(type='cuda', index=0), num_class=2)</t>
  </si>
  <si>
    <t>classification_SelfRegulationSCP2_MambaSL_UEA_ftM_sl1152_ll48_pl0_dm128_nh8_el3_dl1_df256_expand2_dc4_fc1_ebtimeF_dtTrue_Exp_053ec68f8f58b9e549ceb8e85d9705faf4718a2ef8fafdb8ee1b836e6da74a64d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</si>
  <si>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'0743bbafbbda42968aced422ecd4dbac',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'1778916261683390950', 'TRAIN_END': '1778916305863820948', 'TEST_START': '1778916305863897625', 'TEST_END': '1778916307009426241'}</t>
  </si>
  <si>
    <t>c3ec88edd0074d2994f0a1c78fd207ce</t>
  </si>
  <si>
    <t>mlflow-artifacts:/32/c3ec88edd0074d2994f0a1c78fd207ce/artifacts</t>
  </si>
  <si>
    <t>2026-05-16 07:24:03.700000+00:00</t>
  </si>
  <si>
    <t>2026-05-16 07:24:06.688000+00:00</t>
  </si>
  <si>
    <t>run.py --task_name classification --is_training 1 --root_path ./dataset/SelfRegulationSCP1/ --model_id SelfRegulationSCP1 --model MambaSL --data UEA --e_layers 3 --batch_size 32 --d_model 128 --d_ff 256 --top_k 3 --des Exp --itr 1 --learning_rate 0.001 --train_epochs 1000 --patience 10 --seed 7 --id 25f6e8685768520a3516e7871968c32e04103d95dc83806d9817023e73ae8bf0</t>
  </si>
  <si>
    <t>25f6e8685768520a3516e7871968c32e04103d95dc83806d9817023e73ae8bf0</t>
  </si>
  <si>
    <t>Namespace(task_name='classification', is_training=1, model_id='SelfRegulationSCP1', model='MambaSL',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id='25f6e8685768520a3516e7871968c32e04103d95dc83806d9817023e73ae8bf0', device=device(type='cuda', index=0), num_class=2)</t>
  </si>
  <si>
    <t>classification_SelfRegulationSCP1_MambaSL_UEA_ftM_sl896_ll48_pl0_dm128_nh8_el3_dl1_df256_expand2_dc4_fc1_ebtimeF_dtTrue_Exp_025f6e8685768520a3516e7871968c32e04103d95dc83806d9817023e73ae8bf0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</si>
  <si>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'd14c372fe2d1450ea7a239551d7d5a01',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'1778916226992260729', 'TRAIN_END': '1778916242585822263', 'TEST_START': '1778916242585901698', 'TEST_END': '1778916243653689200'}</t>
  </si>
  <si>
    <t>be662a8b3ccb4d69b1b376d36ee219bf</t>
  </si>
  <si>
    <t>mlflow-artifacts:/32/be662a8b3ccb4d69b1b376d36ee219bf/artifacts</t>
  </si>
  <si>
    <t>2026-05-16 07:23:27.939000+00:00</t>
  </si>
  <si>
    <t>2026-05-16 07:23:32.009000+00:00</t>
  </si>
  <si>
    <t>run.py --task_name classification --is_training 1 --root_path ./dataset/JapaneseVowels/ --model_id JapaneseVowels --model MambaSL --data UEA --e_layers 3 --batch_size 32 --d_model 128 --d_ff 256 --top_k 3 --des Exp --itr 1 --learning_rate 0.001 --train_epochs 1000 --patience 10 --seed 7 --id d0a57b815e4fa149843f71cfa502a04c5017c86e495912e96bbd609159413ce0</t>
  </si>
  <si>
    <t>d0a57b815e4fa149843f71cfa502a04c5017c86e495912e96bbd609159413ce0</t>
  </si>
  <si>
    <t>Namespace(task_name='classification', is_training=1, model_id='JapaneseVowels', model='MambaSL',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id='d0a57b815e4fa149843f71cfa502a04c5017c86e495912e96bbd609159413ce0', device=device(type='cuda', index=0), num_class=9)</t>
  </si>
  <si>
    <t>classification_JapaneseVowels_MambaSL_UEA_ftM_sl29_ll48_pl0_dm128_nh8_el3_dl1_df256_expand2_dc4_fc1_ebtimeF_dtTrue_Exp_0d0a57b815e4fa149843f71cfa502a04c5017c86e495912e96bbd609159413ce0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</si>
  <si>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'c75e8f73a8d148dc835d38fe67681bf3',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'1778916170570607444', 'TRAIN_END': '1778916206632791917', 'TEST_START': '1778916206632854367', 'TEST_END': '1778916207892813654'}</t>
  </si>
  <si>
    <t>6ff8d8faedbd4d6da7e85ac7f168cd3f</t>
  </si>
  <si>
    <t>mlflow-artifacts:/32/6ff8d8faedbd4d6da7e85ac7f168cd3f/artifacts</t>
  </si>
  <si>
    <t>2026-05-16 07:22:34.138000+00:00</t>
  </si>
  <si>
    <t>2026-05-16 07:22:37.123000+00:00</t>
  </si>
  <si>
    <t>run.py --task_name classification --is_training 1 --root_path ./dataset/Heartbeat/ --model_id Heartbeat --model MambaSL --data UEA --e_layers 3 --batch_size 32 --d_model 128 --d_ff 256 --top_k 3 --des Exp --itr 1 --learning_rate 0.001 --train_epochs 1000 --patience 10 --seed 7 --id ce803b3b13399c6cde091454a29825553a7eac90f81e642628d06d4da2027e80</t>
  </si>
  <si>
    <t>ce803b3b13399c6cde091454a29825553a7eac90f81e642628d06d4da2027e80</t>
  </si>
  <si>
    <t>Namespace(task_name='classification', is_training=1, model_id='Heartbeat', model='MambaSL',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id='ce803b3b13399c6cde091454a29825553a7eac90f81e642628d06d4da2027e80', device=device(type='cuda', index=0), num_class=2)</t>
  </si>
  <si>
    <t>classification_Heartbeat_MambaSL_UEA_ftM_sl405_ll48_pl0_dm128_nh8_el3_dl1_df256_expand2_dc4_fc1_ebtimeF_dtTrue_Exp_0ce803b3b13399c6cde091454a29825553a7eac90f81e642628d06d4da2027e80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</si>
  <si>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'0beff597fead4cf5b3ddef9cd5a9f786',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'1778916102450493232', 'TRAIN_END': '1778916150923724168', 'TEST_START': '1778916150923792088', 'TEST_END': '1778916154091116566'}</t>
  </si>
  <si>
    <t>2069e19059674078afbab75475eb5f67</t>
  </si>
  <si>
    <t>mlflow-artifacts:/32/2069e19059674078afbab75475eb5f67/artifacts</t>
  </si>
  <si>
    <t>2026-05-16 07:21:11.313000+00:00</t>
  </si>
  <si>
    <t>2026-05-16 07:21:14.269000+00:00</t>
  </si>
  <si>
    <t>run.py --task_name classification --is_training 1 --root_path ./dataset/Handwriting/ --model_id Handwriting --model MambaSL --data UEA --e_layers 3 --batch_size 32 --d_model 128 --d_ff 256 --top_k 3 --des Exp --itr 1 --learning_rate 0.001 --train_epochs 1000 --patience 10 --seed 7 --id 14e30e830b45ca0044919afff97b4591128fd16045dccfaae10c94d8e4ed5f97</t>
  </si>
  <si>
    <t>14e30e830b45ca0044919afff97b4591128fd16045dccfaae10c94d8e4ed5f97</t>
  </si>
  <si>
    <t>Namespace(task_name='classification', is_training=1, model_id='Handwriting', model='MambaSL',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id='14e30e830b45ca0044919afff97b4591128fd16045dccfaae10c94d8e4ed5f97', device=device(type='cuda', index=0), num_class=26)</t>
  </si>
  <si>
    <t>classification_Handwriting_MambaSL_UEA_ftM_sl152_ll48_pl0_dm128_nh8_el3_dl1_df256_expand2_dc4_fc1_ebtimeF_dtTrue_Exp_014e30e830b45ca0044919afff97b4591128fd16045dccfaae10c94d8e4ed5f97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</si>
  <si>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'a791a80d4caf456e92bfe4d063a74081',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'1778916049650846410', 'TRAIN_END': '1778916069959665978', 'TEST_START': '1778916069959738666', 'TEST_END': '1778916071267472050'}</t>
  </si>
  <si>
    <t>a9118c38cbf6444cb121e52c5db05a35</t>
  </si>
  <si>
    <t>mlflow-artifacts:/32/a9118c38cbf6444cb121e52c5db05a35/artifacts</t>
  </si>
  <si>
    <t>2026-05-16 07:20:34.663000+00:00</t>
  </si>
  <si>
    <t>2026-05-16 07:20:37.809000+00:00</t>
  </si>
  <si>
    <t>run.py --task_name classification --is_training 1 --root_path ./dataset/UWaveGestureLibrary/ --model_id UWaveGestureLibrary --model MambaSL --data UEA --e_layers 3 --batch_size 32 --d_model 128 --d_ff 256 --top_k 3 --des Exp --itr 1 --learning_rate 0.001 --train_epochs 1000 --patience 10 --seed 7 --id a2ad7a0d6049286450ce5491fd3d25e20c23a64b91c0b26e9adfcabed94f7f36</t>
  </si>
  <si>
    <t>a2ad7a0d6049286450ce5491fd3d25e20c23a64b91c0b26e9adfcabed94f7f36</t>
  </si>
  <si>
    <t>Namespace(task_name='classification', is_training=1, model_id='UWaveGestureLibrary', model='MambaSL',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id='a2ad7a0d6049286450ce5491fd3d25e20c23a64b91c0b26e9adfcabed94f7f36', device=device(type='cuda', index=0), num_class=8)</t>
  </si>
  <si>
    <t>classification_UWaveGestureLibrary_MambaSL_UEA_ftM_sl315_ll48_pl0_dm128_nh8_el3_dl1_df256_expand2_dc4_fc1_ebtimeF_dtTrue_Exp_0a2ad7a0d6049286450ce5491fd3d25e20c23a64b91c0b26e9adfcabed94f7f36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</si>
  <si>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'a3896c19f2c547fd9b65fc99c5d853e3',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'1778915918880279133', 'TRAIN_END': '1778916033916733506', 'TEST_START': '1778916033916817177', 'TEST_END': '1778916034615273344'}</t>
  </si>
  <si>
    <t>d22e08207e824c63b50892029706a0a2</t>
  </si>
  <si>
    <t>mlflow-artifacts:/32/d22e08207e824c63b50892029706a0a2/artifacts</t>
  </si>
  <si>
    <t>2026-05-16 07:19:38.692000+00:00</t>
  </si>
  <si>
    <t>2026-05-16 07:19:41.733000+00:00</t>
  </si>
  <si>
    <t>run.py --task_name classification --is_training 1 --root_path ./dataset/EthanolConcentration/ --model_id EthanolConcentration --model MambaSL --data UEA --e_layers 3 --batch_size 32 --d_model 128 --d_ff 256 --top_k 3 --des Exp --itr 1 --learning_rate 0.001 --train_epochs 1000 --patience 10 --seed 7 --id 6e55bc4e04f92039ae06b8728f20f71c41ea795d8ee464e097e26b1bc7bbcda0</t>
  </si>
  <si>
    <t>6e55bc4e04f92039ae06b8728f20f71c41ea795d8ee464e097e26b1bc7bbcda0</t>
  </si>
  <si>
    <t>Namespace(task_name='classification', is_training=1, model_id='EthanolConcentration', model='MambaSL',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id='6e55bc4e04f92039ae06b8728f20f71c41ea795d8ee464e097e26b1bc7bbcda0', device=device(type='cuda', index=0), num_class=4)</t>
  </si>
  <si>
    <t>classification_EthanolConcentration_MambaSL_UEA_ftM_sl1751_ll48_pl0_dm128_nh8_el3_dl1_df256_expand2_dc4_fc1_ebtimeF_dtTrue_Exp_06e55bc4e04f92039ae06b8728f20f71c41ea795d8ee464e097e26b1bc7bbcda0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</si>
  <si>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'e3af12cc7a2548f684a8054543f200df', 'MLFLOW_TRACKING_USERNAME': 'sunwu', 'MLFLOW_TRACKING_PASSWORD': 'xxxxx', 'MLFLOW_TRACKING_URI': 'http://192.168.10.61:5000', 'MLFLOW_EXPERIMENT_ID': '32', 'KMP_DUPLICATE_LIB_OK': 'True', 'KMP_INIT_AT_FORK': 'FALSE', 'TORCHINDUCTOR_CACHE_DIR': '/tmp/torchinductor_root', 'TRAIN_START': '1778915919184451550', 'TRAIN_END': '1778915977135141903', 'TEST_START': '1778915977135220231', 'TEST_END': '1778915978644254849'}</t>
  </si>
  <si>
    <t>sname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</si>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</sst>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  <numFmt numFmtId="177" formatCode="0.00_);[Red]\(0.00\)"/>
    <numFmt numFmtId="178" formatCode="0.0_);[Red]\(0.0\)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Fill="1" applyAlignment="1">
      <alignment vertical="center"/>
    </xf>
    <xf numFmtId="11" fontId="3" fillId="0" borderId="0" xfId="0" applyNumberFormat="1" applyFont="1" applyFill="1" applyAlignment="1">
      <alignment vertical="center"/>
    </xf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horizontal="left" vertical="center"/>
    </xf>
    <xf numFmtId="17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numFmt numFmtId="177" formatCode="0.00_);[Red]\(0.00\)"/>
    </dxf>
    <dxf>
      <numFmt numFmtId="177" formatCode="0.00_);[Red]\(0.00\)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7" refreshedVersion="7" minRefreshableVersion="3" refreshedDate="46189.823749537" refreshedBy="孙武" recordCount="150">
  <cacheSource type="worksheet">
    <worksheetSource ref="A1:DT151" sheet="mlflow-data"/>
  </cacheSource>
  <cacheFields count="124">
    <cacheField name="run_id" numFmtId="0"/>
    <cacheField name="experiment_id" numFmtId="0"/>
    <cacheField name="status" numFmtId="0"/>
    <cacheField name="artifact_uri" numFmtId="0"/>
    <cacheField name="start_time" numFmtId="0"/>
    <cacheField name="end_time" numFmtId="0"/>
    <cacheField name="metrics.test_start" numFmtId="11"/>
    <cacheField name="metrics.accuracy" numFmtId="0"/>
    <cacheField name="metrics.f1" numFmtId="0"/>
    <cacheField name="metrics.test_elapsed_seconds" numFmtId="0"/>
    <cacheField name="metrics.precision" numFmtId="0"/>
    <cacheField name="metrics.train_end" numFmtId="11"/>
    <cacheField name="metrics.recall" numFmtId="0"/>
    <cacheField name="metrics.test_end" numFmtId="11"/>
    <cacheField name="metrics.train_start" numFmtId="11"/>
    <cacheField name="metrics.train_elapsed_seconds" numFmtId="0"/>
    <cacheField name="params.mask_rate" numFmtId="0"/>
    <cacheField name="params.num_kernels" numFmtId="0"/>
    <cacheField name="params.devices" numFmtId="0"/>
    <cacheField name="params.des" numFmtId="0"/>
    <cacheField name="params.permutation" numFmtId="0"/>
    <cacheField name="params.moving_avg" numFmtId="0"/>
    <cacheField name="params.pred_len" numFmtId="0"/>
    <cacheField name="params.num_workers" numFmtId="0"/>
    <cacheField name="params.n_heads" numFmtId="0"/>
    <cacheField name="params.wdba" numFmtId="0"/>
    <cacheField name="params.d_conv" numFmtId="0"/>
    <cacheField name="params.use_amp" numFmtId="0"/>
    <cacheField name="params.inverse" numFmtId="0"/>
    <cacheField name="params.lradj" numFmtId="0"/>
    <cacheField name="params.run_cmd" numFmtId="0"/>
    <cacheField name="params.down_sampling_window" numFmtId="0"/>
    <cacheField name="params.spawner" numFmtId="0"/>
    <cacheField name="params.use_dtw" numFmtId="0"/>
    <cacheField name="params.features" numFmtId="0"/>
    <cacheField name="params.e_layers" numFmtId="0"/>
    <cacheField name="params.individual" numFmtId="0"/>
    <cacheField name="params.num_class" numFmtId="0"/>
    <cacheField name="params.tv_B" numFmtId="0"/>
    <cacheField name="params.augmentation_ratio" numFmtId="0"/>
    <cacheField name="params.discdtw" numFmtId="0"/>
    <cacheField name="params.learning_rate" numFmtId="0"/>
    <cacheField name="params.d_ff" numFmtId="0"/>
    <cacheField name="params.use_gpu" numFmtId="0"/>
    <cacheField name="params.use_norm" numFmtId="0"/>
    <cacheField name="params.top_k" numFmtId="0"/>
    <cacheField name="params.alpha" numFmtId="0"/>
    <cacheField name="params.dropout" numFmtId="0"/>
    <cacheField name="params.scaling" numFmtId="0"/>
    <cacheField name="params.conv_channel" numFmtId="0"/>
    <cacheField name="params.seed" numFmtId="0"/>
    <cacheField name="params.is_training" numFmtId="0"/>
    <cacheField name="params.patch_len" numFmtId="0"/>
    <cacheField name="params.root_path" numFmtId="0"/>
    <cacheField name="params.seasonal_patterns" numFmtId="0"/>
    <cacheField name="params.patience" numFmtId="0"/>
    <cacheField name="params.discsdtw" numFmtId="0"/>
    <cacheField name="params.task_name" numFmtId="0"/>
    <cacheField name="params.__id" numFmtId="0"/>
    <cacheField name="params.use_D" numFmtId="0"/>
    <cacheField name="params.target" numFmtId="0"/>
    <cacheField name="params.gcn_depth" numFmtId="0"/>
    <cacheField name="params.extra_tag" numFmtId="0"/>
    <cacheField name="params.use_multi_gpu" numFmtId="0"/>
    <cacheField name="params.down_sampling_layers" numFmtId="0"/>
    <cacheField name="params.tv_dt" numFmtId="0"/>
    <cacheField name="params.gpu_type" numFmtId="0"/>
    <cacheField name="params.d_model" numFmtId="0"/>
    <cacheField name="params.data_path" numFmtId="0"/>
    <cacheField name="params.expand" numFmtId="0"/>
    <cacheField name="params.embed" numFmtId="0"/>
    <cacheField name="params.tv_C" numFmtId="0"/>
    <cacheField name="params.seg_len" numFmtId="0"/>
    <cacheField name="params.windowwarp" numFmtId="0"/>
    <cacheField name="params.train_epochs" numFmtId="0"/>
    <cacheField name="params.gcn_dropout" numFmtId="0"/>
    <cacheField name="params.timewarp" numFmtId="0"/>
    <cacheField name="params.args" numFmtId="0"/>
    <cacheField name="params.model" numFmtId="0">
      <sharedItems count="3">
        <s v="PatchTST"/>
        <s v="TimesNet"/>
        <s v="MambaSL"/>
      </sharedItems>
    </cacheField>
    <cacheField name="params.settings" numFmtId="0"/>
    <cacheField name="params.down_sampling_method" numFmtId="0"/>
    <cacheField name="params.seq_len" numFmtId="0"/>
    <cacheField name="params.batch_size" numFmtId="0"/>
    <cacheField name="params.shapedtwwarp" numFmtId="0"/>
    <cacheField name="params.data" numFmtId="0"/>
    <cacheField name="params.label_len" numFmtId="0"/>
    <cacheField name="params.d_layers" numFmtId="0"/>
    <cacheField name="params.anomaly_ratio" numFmtId="0"/>
    <cacheField name="params.dec_in" numFmtId="0"/>
    <cacheField name="params.envs" numFmtId="0"/>
    <cacheField name="params.c_out" numFmtId="0"/>
    <cacheField name="params.p_hidden_dims" numFmtId="0"/>
    <cacheField name="params.gpu" numFmtId="0"/>
    <cacheField name="params.model_id" numFmtId="0"/>
    <cacheField name="params.decomp_method" numFmtId="0"/>
    <cacheField name="params.id" numFmtId="0"/>
    <cacheField name="params.enc_in" numFmtId="0"/>
    <cacheField name="params.randompermutation" numFmtId="0"/>
    <cacheField name="params.loss" numFmtId="0"/>
    <cacheField name="params.distil" numFmtId="0"/>
    <cacheField name="params.jitter" numFmtId="0"/>
    <cacheField name="params.channel_independence" numFmtId="0"/>
    <cacheField name="params.p_hidden_layers" numFmtId="0"/>
    <cacheField name="params.windowslice" numFmtId="0"/>
    <cacheField name="params.magwarp" numFmtId="0"/>
    <cacheField name="params.rotation" numFmtId="0"/>
    <cacheField name="params.device" numFmtId="0"/>
    <cacheField name="params.freq" numFmtId="0"/>
    <cacheField name="params.checkpoints" numFmtId="0"/>
    <cacheField name="params.top_p" numFmtId="0"/>
    <cacheField name="params.node_dim" numFmtId="0"/>
    <cacheField name="params.propalpha" numFmtId="0"/>
    <cacheField name="params.pos" numFmtId="0"/>
    <cacheField name="params.itr" numFmtId="0"/>
    <cacheField name="params.activation" numFmtId="0"/>
    <cacheField name="params.dtwwarp" numFmtId="0"/>
    <cacheField name="params.skip_channel" numFmtId="0"/>
    <cacheField name="params.factor" numFmtId="0"/>
    <cacheField name="tags.mlflow.source.type" numFmtId="0"/>
    <cacheField name="tags.mlflow.runName" numFmtId="0"/>
    <cacheField name="tags.mlflow.source.name" numFmtId="0"/>
    <cacheField name="tags.mlflow.user" numFmtId="0"/>
    <cacheField name="dataset" numFmtId="0">
      <sharedItems count="10">
        <s v="PEMS-SF"/>
        <s v="SAD"/>
        <s v="FD"/>
        <s v="SRS2"/>
        <s v="SRS1"/>
        <s v="JV"/>
        <s v="HB"/>
        <s v="HW"/>
        <s v="EC"/>
        <s v="UWG"/>
      </sharedItems>
    </cacheField>
    <cacheField name="eval_time" numFmtId="178">
      <sharedItems containsSemiMixedTypes="0" containsString="0" containsNumber="1" minValue="0" maxValue="600.36032" count="150">
        <n v="33.643650048"/>
        <n v="6.004620032"/>
        <n v="81.894799872"/>
        <n v="1.499330048"/>
        <n v="1.280999936"/>
        <n v="1.108549888"/>
        <n v="3.876150016"/>
        <n v="1.284329984"/>
        <n v="33.817199872"/>
        <n v="1.727799808"/>
        <n v="0.922280192"/>
        <n v="5.992140032"/>
        <n v="80.156859904"/>
        <n v="1.506380032"/>
        <n v="1.370419968"/>
        <n v="1.258829824"/>
        <n v="4.146120192"/>
        <n v="1.256229888"/>
        <n v="33.621380096"/>
        <n v="1.566899968"/>
        <n v="1.120840192"/>
        <n v="6.006640128"/>
        <n v="80.902739968"/>
        <n v="1.484429824"/>
        <n v="1.292260096"/>
        <n v="1.071670016"/>
        <n v="3.969410048"/>
        <n v="1.293479936"/>
        <n v="33.451480064"/>
        <n v="2.089570048"/>
        <n v="1.00571008"/>
        <n v="80.901740032"/>
        <n v="6.322210048"/>
        <n v="1.508559872"/>
        <n v="1.28976"/>
        <n v="1.080329984"/>
        <n v="3.91737984"/>
        <n v="1.427369984"/>
        <n v="33.327539968"/>
        <n v="1.908549888"/>
        <n v="1.048079872"/>
        <n v="82.304280064"/>
        <n v="6.26409984"/>
        <n v="1.375670016"/>
        <n v="1.248519936"/>
        <n v="1.167510016"/>
        <n v="3.878180096"/>
        <n v="1.229540096"/>
        <n v="1.473989888"/>
        <n v="2.307079936"/>
        <n v="27.902380032"/>
        <n v="17.046760192"/>
        <n v="2.801580032"/>
        <n v="8.163079936"/>
        <n v="235.482520064"/>
        <n v="13.714910208"/>
        <n v="37.799049984"/>
        <n v="7.563369984"/>
        <n v="8.65908992"/>
        <n v="56.381220096"/>
        <n v="4.634930176"/>
        <n v="16.636809984"/>
        <n v="600.36032"/>
        <n v="11.226299904"/>
        <n v="17.091430144"/>
        <n v="10.393409792"/>
        <n v="5.953410048"/>
        <n v="7.843719936"/>
        <n v="8.722470144"/>
        <n v="6.097730048"/>
        <n v="71.500169984"/>
        <n v="17.818619904"/>
        <n v="6.970589952"/>
        <n v="6.074290176"/>
        <n v="227.00948992"/>
        <n v="2.900420096"/>
        <n v="34.842739968"/>
        <n v="24.959129856"/>
        <n v="8.546360064"/>
        <n v="41.63728"/>
        <n v="3.748410112"/>
        <n v="17.082120192"/>
        <n v="2.800039936"/>
        <n v="123.781890048"/>
        <n v="15.353720064"/>
        <n v="15.116790016"/>
        <n v="5.868989952"/>
        <n v="7.473069824"/>
        <n v="8.596080128"/>
        <n v="38.05828992"/>
        <n v="3.819980032"/>
        <n v="16.781869824"/>
        <n v="10.994729984"/>
        <n v="2.752940032"/>
        <n v="11.982429952"/>
        <n v="194.72393984"/>
        <n v="5.639300096"/>
        <n v="22.288790016"/>
        <n v="8.588070144"/>
        <n v="3.761129984"/>
        <n v="27.493590016"/>
        <n v="4.897410048"/>
        <n v="1.30070016"/>
        <n v="68.82635008"/>
        <n v="1.150540032"/>
        <n v="1.254710016"/>
        <n v="3.254279936"/>
        <n v="1.36043008"/>
        <n v="27.641949952"/>
        <n v="1.367810048"/>
        <n v="0.669240064"/>
        <n v="68.098759936"/>
        <n v="4.789869824"/>
        <n v="1.185639936"/>
        <n v="1.085359872"/>
        <n v="1.239820032"/>
        <n v="3.486530048"/>
        <n v="1.367709952"/>
        <n v="27.089839872"/>
        <n v="1.591589888"/>
        <n v="0.640410112"/>
        <n v="4.930439936"/>
        <n v="66.016819968"/>
        <n v="1.303859968"/>
        <n v="1.089639936"/>
        <n v="1.177030144"/>
        <n v="3.198540032"/>
        <n v="1.354630144"/>
        <n v="27.502590208"/>
        <n v="1.369720064"/>
        <n v="0.765479936"/>
        <n v="67.12977024"/>
        <n v="5.348649984"/>
        <n v="1.18356992"/>
        <n v="1.096370176"/>
        <n v="1.30644992"/>
        <n v="3.200560128"/>
        <n v="1.312930048"/>
        <n v="1.465249792"/>
        <n v="28.131759872"/>
        <n v="0.735110144"/>
        <n v="67.561029888"/>
        <n v="5.127670016"/>
        <n v="1.145530112"/>
        <n v="1.067780096"/>
        <n v="1.259960064"/>
        <n v="3.167319808"/>
        <n v="1.30774016"/>
        <n v="0.698459904"/>
        <n v="1.509030144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78d2f29066614cd2a31d0c334cc83886"/>
    <n v="32"/>
    <s v="FINISHED"/>
    <s v="mlflow-artifacts:/32/78d2f29066614cd2a31d0c334cc83886/artifacts"/>
    <s v="2026-05-18 20:15:38.654000+00:00"/>
    <s v="2026-05-18 20:19:50.728000+00:00"/>
    <n v="1.7791353049753201E+18"/>
    <n v="0.85654420115935104"/>
    <n v="0.85075861517003804"/>
    <n v="1.54827582"/>
    <n v="0.85654420115935104"/>
    <n v="1.77913530497523E+18"/>
    <n v="0.84971098265895895"/>
    <n v="1.7791353386189701E+18"/>
    <n v="1.7791350188242801E+18"/>
    <n v="172.196262530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PEMS-SF/ --model_id PEMS-SF --model PatchTST --data UEA --e_layers 3 --batch_size 32 --d_model 128 --d_ff 256 --top_k 3 --des Exp --itr 1 --learning_rate 0.001 --train_epochs 1000 --patience 10 --seed 2026 --id 7e9c43feb5f057ebac7f88cf8f9ff7ec788086531e8a82f173ecc096de9232f1"/>
    <n v="1"/>
    <b v="0"/>
    <b v="0"/>
    <s v="M"/>
    <n v="3"/>
    <b v="0"/>
    <n v="7"/>
    <n v="0"/>
    <n v="0"/>
    <b v="0"/>
    <n v="1E-3"/>
    <n v="256"/>
    <b v="1"/>
    <n v="1"/>
    <n v="3"/>
    <n v="0.1"/>
    <n v="0.1"/>
    <b v="0"/>
    <n v="32"/>
    <n v="2026"/>
    <n v="1"/>
    <n v="16"/>
    <s v="./dataset/PEMS-SF/"/>
    <s v="Monthly"/>
    <n v="10"/>
    <b v="0"/>
    <s v="classification"/>
    <s v="7e9c43feb5f057ebac7f88cf8f9ff7ec788086531e8a82f173ecc096de9232f1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PEMS-SF', model='PatchTST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7e9c43feb5f057ebac7f88cf8f9ff7ec788086531e8a82f173ecc096de9232f1', device=device(type='cuda', index=0), num_class=7)"/>
    <x v="0"/>
    <s v="classification_PEMS-SF_PatchTST_UEA_ftM_sl144_ll48_pl0_dm128_nh8_el3_dl1_df256_expand2_dc4_fc1_ebtimeF_dtTrue_Exp_07e9c43feb5f057ebac7f88cf8f9ff7ec788086531e8a82f173ecc096de9232f1"/>
    <s v="None"/>
    <n v="144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3b140f3ae629427a9857538b76c16661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5018824289637', 'TRAIN_END': '1779135304975238686', 'TEST_START': '1779135304975320854', 'TEST_END': '1779135338618971407'}"/>
    <n v="7"/>
    <s v="[128, 128]"/>
    <n v="0"/>
    <s v="PEMS-SF"/>
    <s v="moving_avg"/>
    <s v="7e9c43feb5f057ebac7f88cf8f9ff7ec788086531e8a82f173ecc096de9232f1"/>
    <n v="96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PEMS-SF_PatchTST_UEA_ftM_sl144_ll48_pl0_dm128_nh8_el3_dl1_df256_expand2_dc4_fc1_ebtimeF_dtTrue_Exp_07e9c43feb5f057ebac7f88cf8f9ff7ec788086531e8a82f173ecc096de9232f1"/>
    <s v="run.py"/>
    <s v="sunwu"/>
    <x v="0"/>
    <x v="0"/>
  </r>
  <r>
    <s v="45267c8c5cc24e2aa658de42f88e37fd"/>
    <n v="32"/>
    <s v="FINISHED"/>
    <s v="mlflow-artifacts:/32/45267c8c5cc24e2aa658de42f88e37fd/artifacts"/>
    <s v="2026-05-18 20:07:43.725000+00:00"/>
    <s v="2026-05-18 20:07:56.686000+00:00"/>
    <n v="1.77913485767165E+18"/>
    <n v="0.97951234660407305"/>
    <n v="0.97900016120261801"/>
    <n v="0.76139758700000004"/>
    <n v="0.97951234660407305"/>
    <n v="1.7791348576715799E+18"/>
    <n v="0.97908140063665305"/>
    <n v="1.7791348636762701E+18"/>
    <n v="1.7791346611017201E+18"/>
    <n v="171.1447949059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pokenArabicDigits/ --model_id SpokenArabicDigits --model PatchTST --data UEA --e_layers 3 --batch_size 32 --d_model 128 --d_ff 256 --top_k 3 --des Exp --itr 1 --learning_rate 0.001 --train_epochs 1000 --patience 10 --seed 2026 --id 2bacfecb5df1f6c3aabad84b3459c51ee618378e4e06c574a8fbaea92f13f245"/>
    <n v="1"/>
    <b v="0"/>
    <b v="0"/>
    <s v="M"/>
    <n v="3"/>
    <b v="0"/>
    <n v="10"/>
    <n v="0"/>
    <n v="0"/>
    <b v="0"/>
    <n v="1E-3"/>
    <n v="256"/>
    <b v="1"/>
    <n v="1"/>
    <n v="3"/>
    <n v="0.1"/>
    <n v="0.1"/>
    <b v="0"/>
    <n v="32"/>
    <n v="2026"/>
    <n v="1"/>
    <n v="16"/>
    <s v="./dataset/SpokenArabicDigits/"/>
    <s v="Monthly"/>
    <n v="10"/>
    <b v="0"/>
    <s v="classification"/>
    <s v="2bacfecb5df1f6c3aabad84b3459c51ee618378e4e06c574a8fbaea92f13f245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pokenArabicDigits', model='PatchTST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2bacfecb5df1f6c3aabad84b3459c51ee618378e4e06c574a8fbaea92f13f245', device=device(type='cuda', index=0), num_class=10)"/>
    <x v="0"/>
    <s v="classification_SpokenArabicDigits_PatchTST_UEA_ftM_sl93_ll48_pl0_dm128_nh8_el3_dl1_df256_expand2_dc4_fc1_ebtimeF_dtTrue_Exp_02bacfecb5df1f6c3aabad84b3459c51ee618378e4e06c574a8fbaea92f13f245"/>
    <s v="None"/>
    <n v="93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cb4ae17985774fe98e569cfb8e285845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4661101720279', 'TRAIN_END': '1779134857671587728', 'TEST_START': '1779134857671654214', 'TEST_END': '1779134863676272724'}"/>
    <n v="7"/>
    <s v="[128, 128]"/>
    <n v="0"/>
    <s v="SpokenArabicDigits"/>
    <s v="moving_avg"/>
    <s v="2bacfecb5df1f6c3aabad84b3459c51ee618378e4e06c574a8fbaea92f13f245"/>
    <n v="1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pokenArabicDigits_PatchTST_UEA_ftM_sl93_ll48_pl0_dm128_nh8_el3_dl1_df256_expand2_dc4_fc1_ebtimeF_dtTrue_Exp_02bacfecb5df1f6c3aabad84b3459c51ee618378e4e06c574a8fbaea92f13f245"/>
    <s v="run.py"/>
    <s v="sunwu"/>
    <x v="1"/>
    <x v="1"/>
  </r>
  <r>
    <s v="dc7af7c24f56469d968edf7f16c446ad"/>
    <n v="32"/>
    <s v="FINISHED"/>
    <s v="mlflow-artifacts:/32/dc7af7c24f56469d968edf7f16c446ad/artifacts"/>
    <s v="2026-05-18 20:06:39.123000+00:00"/>
    <s v="2026-05-18 20:06:51.162000+00:00"/>
    <n v="1.7791347171801201E+18"/>
    <n v="0.66418864410630496"/>
    <n v="0.662641989377587"/>
    <n v="2.2074111909999998"/>
    <n v="0.66418864410630496"/>
    <n v="1.7791347171800599E+18"/>
    <n v="0.66316685584562995"/>
    <n v="1.7791347990749199E+18"/>
    <n v="1.77913419909086E+18"/>
    <n v="225.122344055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FaceDetection/ --model_id FaceDetection --model PatchTST --data UEA --e_layers 3 --batch_size 32 --d_model 128 --d_ff 256 --top_k 3 --des Exp --itr 1 --learning_rate 0.001 --train_epochs 1000 --patience 10 --seed 2026 --id ae67fc8457cf97b1d2eb8b82076b9672b9546ecb66095ff792c5af39b3489eab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2026"/>
    <n v="1"/>
    <n v="16"/>
    <s v="./dataset/FaceDetection/"/>
    <s v="Monthly"/>
    <n v="10"/>
    <b v="0"/>
    <s v="classification"/>
    <s v="ae67fc8457cf97b1d2eb8b82076b9672b9546ecb66095ff792c5af39b3489eab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FaceDetection', model='PatchTST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ae67fc8457cf97b1d2eb8b82076b9672b9546ecb66095ff792c5af39b3489eab', device=device(type='cuda', index=0), num_class=2)"/>
    <x v="0"/>
    <s v="classification_FaceDetection_PatchTST_UEA_ftM_sl62_ll48_pl0_dm128_nh8_el3_dl1_df256_expand2_dc4_fc1_ebtimeF_dtTrue_Exp_0ae67fc8457cf97b1d2eb8b82076b9672b9546ecb66095ff792c5af39b3489eab"/>
    <s v="None"/>
    <n v="62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b90f95f2c4f94f8482d4b4bc7f40e84b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4199090866439', 'TRAIN_END': '1779134717180068400', 'TEST_START': '1779134717180125225', 'TEST_END': '1779134799074922522'}"/>
    <n v="7"/>
    <s v="[128, 128]"/>
    <n v="0"/>
    <s v="FaceDetection"/>
    <s v="moving_avg"/>
    <s v="ae67fc8457cf97b1d2eb8b82076b9672b9546ecb66095ff792c5af39b3489eab"/>
    <n v="144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FaceDetection_PatchTST_UEA_ftM_sl62_ll48_pl0_dm128_nh8_el3_dl1_df256_expand2_dc4_fc1_ebtimeF_dtTrue_Exp_0ae67fc8457cf97b1d2eb8b82076b9672b9546ecb66095ff792c5af39b3489eab"/>
    <s v="run.py"/>
    <s v="sunwu"/>
    <x v="2"/>
    <x v="2"/>
  </r>
  <r>
    <s v="20bae3b803fb4510901aadc48310ef3d"/>
    <n v="32"/>
    <s v="FINISHED"/>
    <s v="mlflow-artifacts:/32/20bae3b803fb4510901aadc48310ef3d/artifacts"/>
    <s v="2026-05-18 20:03:31.532000+00:00"/>
    <s v="2026-05-18 20:03:37.211000+00:00"/>
    <n v="1.77913460996989E+18"/>
    <n v="0.48316498316498302"/>
    <n v="0.48203842940684999"/>
    <n v="0.839015599"/>
    <n v="0.48316498316498302"/>
    <n v="1.7791346099698299E+18"/>
    <n v="0.483333333333333"/>
    <n v="1.7791346114692201E+18"/>
    <n v="1.77913454321664E+18"/>
    <n v="64.371999040999995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2/ --model_id SelfRegulationSCP2 --model PatchTST --data UEA --e_layers 3 --batch_size 32 --d_model 128 --d_ff 256 --top_k 3 --des Exp --itr 1 --learning_rate 0.001 --train_epochs 1000 --patience 10 --seed 2026 --id 5e0ec475124df73a8051fc0ef87242fe511915f156ae906e17e5ccb5ad333b8f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2026"/>
    <n v="1"/>
    <n v="16"/>
    <s v="./dataset/SelfRegulationSCP2/"/>
    <s v="Monthly"/>
    <n v="10"/>
    <b v="0"/>
    <s v="classification"/>
    <s v="5e0ec475124df73a8051fc0ef87242fe511915f156ae906e17e5ccb5ad333b8f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2', model='PatchTST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5e0ec475124df73a8051fc0ef87242fe511915f156ae906e17e5ccb5ad333b8f', device=device(type='cuda', index=0), num_class=2)"/>
    <x v="0"/>
    <s v="classification_SelfRegulationSCP2_PatchTST_UEA_ftM_sl1152_ll48_pl0_dm128_nh8_el3_dl1_df256_expand2_dc4_fc1_ebtimeF_dtTrue_Exp_05e0ec475124df73a8051fc0ef87242fe511915f156ae906e17e5ccb5ad333b8f"/>
    <s v="None"/>
    <n v="1152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3c0ab1173f094af08fb0bd11460fb0bb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4543216645266', 'TRAIN_END': '1779134609969831681', 'TEST_START': '1779134609969894184', 'TEST_END': '1779134611469228904'}"/>
    <n v="7"/>
    <s v="[128, 128]"/>
    <n v="0"/>
    <s v="SelfRegulationSCP2"/>
    <s v="moving_avg"/>
    <s v="5e0ec475124df73a8051fc0ef87242fe511915f156ae906e17e5ccb5ad333b8f"/>
    <n v="7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2_PatchTST_UEA_ftM_sl1152_ll48_pl0_dm128_nh8_el3_dl1_df256_expand2_dc4_fc1_ebtimeF_dtTrue_Exp_05e0ec475124df73a8051fc0ef87242fe511915f156ae906e17e5ccb5ad333b8f"/>
    <s v="run.py"/>
    <s v="sunwu"/>
    <x v="3"/>
    <x v="3"/>
  </r>
  <r>
    <s v="81c0cefd498f47ada57611a2af61456c"/>
    <n v="32"/>
    <s v="FINISHED"/>
    <s v="mlflow-artifacts:/32/81c0cefd498f47ada57611a2af61456c/artifacts"/>
    <s v="2026-05-18 20:01:58.139000+00:00"/>
    <s v="2026-05-18 20:02:03.360000+00:00"/>
    <n v="1.7791345168020101E+18"/>
    <n v="0.83127085559370795"/>
    <n v="0.80147672769773604"/>
    <n v="0.45789027599999998"/>
    <n v="0.83127085559370795"/>
    <n v="1.77913451680194E+18"/>
    <n v="0.80546075085324198"/>
    <n v="1.77913451808301E+18"/>
    <n v="1.7791344895181801E+18"/>
    <n v="24.61354860999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1/ --model_id SelfRegulationSCP1 --model PatchTST --data UEA --e_layers 3 --batch_size 32 --d_model 128 --d_ff 256 --top_k 3 --des Exp --itr 1 --learning_rate 0.001 --train_epochs 1000 --patience 10 --seed 2026 --id 2498077efd113788834027269e88238a63b4c4d9fec922d1b9073470310b3c50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2026"/>
    <n v="1"/>
    <n v="16"/>
    <s v="./dataset/SelfRegulationSCP1/"/>
    <s v="Monthly"/>
    <n v="10"/>
    <b v="0"/>
    <s v="classification"/>
    <s v="2498077efd113788834027269e88238a63b4c4d9fec922d1b9073470310b3c50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1', model='PatchTST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2498077efd113788834027269e88238a63b4c4d9fec922d1b9073470310b3c50', device=device(type='cuda', index=0), num_class=2)"/>
    <x v="0"/>
    <s v="classification_SelfRegulationSCP1_PatchTST_UEA_ftM_sl896_ll48_pl0_dm128_nh8_el3_dl1_df256_expand2_dc4_fc1_ebtimeF_dtTrue_Exp_02498077efd113788834027269e88238a63b4c4d9fec922d1b9073470310b3c50"/>
    <s v="None"/>
    <n v="896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1ab79d82527246beb53d68718bcc672e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4489518182820', 'TRAIN_END': '1779134516801944118', 'TEST_START': '1779134516802010081', 'TEST_END': '1779134518083013488'}"/>
    <n v="7"/>
    <s v="[128, 128]"/>
    <n v="0"/>
    <s v="SelfRegulationSCP1"/>
    <s v="moving_avg"/>
    <s v="2498077efd113788834027269e88238a63b4c4d9fec922d1b9073470310b3c50"/>
    <n v="6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1_PatchTST_UEA_ftM_sl896_ll48_pl0_dm128_nh8_el3_dl1_df256_expand2_dc4_fc1_ebtimeF_dtTrue_Exp_02498077efd113788834027269e88238a63b4c4d9fec922d1b9073470310b3c50"/>
    <s v="run.py"/>
    <s v="sunwu"/>
    <x v="4"/>
    <x v="4"/>
  </r>
  <r>
    <s v="2a8f98daca4e4c928df444bcbadd0c17"/>
    <n v="32"/>
    <s v="FINISHED"/>
    <s v="mlflow-artifacts:/32/2a8f98daca4e4c928df444bcbadd0c17/artifacts"/>
    <s v="2026-05-18 20:01:05.445000+00:00"/>
    <s v="2026-05-18 20:01:09.918000+00:00"/>
    <n v="1.77913446427872E+18"/>
    <n v="0.95306109958188201"/>
    <n v="0.95163857313030997"/>
    <n v="0.43257826300000002"/>
    <n v="0.95306109958188201"/>
    <n v="1.7791344642786199E+18"/>
    <n v="0.95135135135135096"/>
    <n v="1.7791344653872699E+18"/>
    <n v="1.77913440529955E+18"/>
    <n v="56.569046982000003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JapaneseVowels/ --model_id JapaneseVowels --model PatchTST --data UEA --e_layers 3 --batch_size 32 --d_model 128 --d_ff 256 --top_k 3 --des Exp --itr 1 --learning_rate 0.001 --train_epochs 1000 --patience 10 --seed 2026 --id b86cf4d08ffc4ae89897de23e26f2a6ef252e8dedadf38f8e2188a512061fd35"/>
    <n v="1"/>
    <b v="0"/>
    <b v="0"/>
    <s v="M"/>
    <n v="3"/>
    <b v="0"/>
    <n v="9"/>
    <n v="0"/>
    <n v="0"/>
    <b v="0"/>
    <n v="1E-3"/>
    <n v="256"/>
    <b v="1"/>
    <n v="1"/>
    <n v="3"/>
    <n v="0.1"/>
    <n v="0.1"/>
    <b v="0"/>
    <n v="32"/>
    <n v="2026"/>
    <n v="1"/>
    <n v="16"/>
    <s v="./dataset/JapaneseVowels/"/>
    <s v="Monthly"/>
    <n v="10"/>
    <b v="0"/>
    <s v="classification"/>
    <s v="b86cf4d08ffc4ae89897de23e26f2a6ef252e8dedadf38f8e2188a512061fd35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JapaneseVowels', model='PatchTST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b86cf4d08ffc4ae89897de23e26f2a6ef252e8dedadf38f8e2188a512061fd35', device=device(type='cuda', index=0), num_class=9)"/>
    <x v="0"/>
    <s v="classification_JapaneseVowels_PatchTST_UEA_ftM_sl29_ll48_pl0_dm128_nh8_el3_dl1_df256_expand2_dc4_fc1_ebtimeF_dtTrue_Exp_0b86cf4d08ffc4ae89897de23e26f2a6ef252e8dedadf38f8e2188a512061fd35"/>
    <s v="None"/>
    <n v="29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800d8f387732443d934280ad806ce85d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4405299549969', 'TRAIN_END': '1779134464278625376', 'TEST_START': '1779134464278721913', 'TEST_END': '1779134465387271213'}"/>
    <n v="7"/>
    <s v="[128, 128]"/>
    <n v="0"/>
    <s v="JapaneseVowels"/>
    <s v="moving_avg"/>
    <s v="b86cf4d08ffc4ae89897de23e26f2a6ef252e8dedadf38f8e2188a512061fd35"/>
    <n v="12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JapaneseVowels_PatchTST_UEA_ftM_sl29_ll48_pl0_dm128_nh8_el3_dl1_df256_expand2_dc4_fc1_ebtimeF_dtTrue_Exp_0b86cf4d08ffc4ae89897de23e26f2a6ef252e8dedadf38f8e2188a512061fd35"/>
    <s v="run.py"/>
    <s v="sunwu"/>
    <x v="5"/>
    <x v="5"/>
  </r>
  <r>
    <s v="c8d3da638ffe42d788b9ccdd60dc0dd8"/>
    <n v="32"/>
    <s v="FINISHED"/>
    <s v="mlflow-artifacts:/32/c8d3da638ffe42d788b9ccdd60dc0dd8/artifacts"/>
    <s v="2026-05-18 19:59:43.038000+00:00"/>
    <s v="2026-05-18 19:59:48.008000+00:00"/>
    <n v="1.7791343790922199E+18"/>
    <n v="0.64803029487248498"/>
    <n v="0.65071574551956302"/>
    <n v="0.53677833200000002"/>
    <n v="0.64803029487248498"/>
    <n v="1.7791343790921101E+18"/>
    <n v="0.65365853658536499"/>
    <n v="1.7791343829683699E+18"/>
    <n v="1.7791343306004201E+18"/>
    <n v="38.22674144900000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eartbeat/ --model_id Heartbeat --model PatchTST --data UEA --e_layers 3 --batch_size 32 --d_model 128 --d_ff 256 --top_k 3 --des Exp --itr 1 --learning_rate 0.001 --train_epochs 1000 --patience 10 --seed 2026 --id 83c95b8971616fde171f39d9938ec9403e0335ec288e31413c6c4b0f79ae76dd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2026"/>
    <n v="1"/>
    <n v="16"/>
    <s v="./dataset/Heartbeat/"/>
    <s v="Monthly"/>
    <n v="10"/>
    <b v="0"/>
    <s v="classification"/>
    <s v="83c95b8971616fde171f39d9938ec9403e0335ec288e31413c6c4b0f79ae76dd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eartbeat', model='PatchTST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83c95b8971616fde171f39d9938ec9403e0335ec288e31413c6c4b0f79ae76dd', device=device(type='cuda', index=0), num_class=2)"/>
    <x v="0"/>
    <s v="classification_Heartbeat_PatchTST_UEA_ftM_sl405_ll48_pl0_dm128_nh8_el3_dl1_df256_expand2_dc4_fc1_ebtimeF_dtTrue_Exp_083c95b8971616fde171f39d9938ec9403e0335ec288e31413c6c4b0f79ae76dd"/>
    <s v="None"/>
    <n v="405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db77e3aacce145be87ec8e4b59e37222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4330600422053', 'TRAIN_END': '1779134379092112749', 'TEST_START': '1779134379092224025', 'TEST_END': '1779134382968378624'}"/>
    <n v="7"/>
    <s v="[128, 128]"/>
    <n v="0"/>
    <s v="Heartbeat"/>
    <s v="moving_avg"/>
    <s v="83c95b8971616fde171f39d9938ec9403e0335ec288e31413c6c4b0f79ae76dd"/>
    <n v="61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eartbeat_PatchTST_UEA_ftM_sl405_ll48_pl0_dm128_nh8_el3_dl1_df256_expand2_dc4_fc1_ebtimeF_dtTrue_Exp_083c95b8971616fde171f39d9938ec9403e0335ec288e31413c6c4b0f79ae76dd"/>
    <s v="run.py"/>
    <s v="sunwu"/>
    <x v="6"/>
    <x v="6"/>
  </r>
  <r>
    <s v="903ff783e2714fbe917d180ab42ce6c0"/>
    <n v="32"/>
    <s v="FINISHED"/>
    <s v="mlflow-artifacts:/32/903ff783e2714fbe917d180ab42ce6c0/artifacts"/>
    <s v="2026-05-18 19:58:03.847000+00:00"/>
    <s v="2026-05-18 19:58:11.656000+00:00"/>
    <n v="1.77913428251599E+18"/>
    <n v="0.304412118437482"/>
    <n v="0.25015319107338202"/>
    <n v="0.52262030299999995"/>
    <n v="0.304412118437482"/>
    <n v="1.77913428251584E+18"/>
    <n v="0.26470588235294101"/>
    <n v="1.77913428380032E+18"/>
    <n v="1.7791342313859699E+18"/>
    <n v="48.925014812999997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andwriting/ --model_id Handwriting --model PatchTST --data UEA --e_layers 3 --batch_size 32 --d_model 128 --d_ff 256 --top_k 3 --des Exp --itr 1 --learning_rate 0.001 --train_epochs 1000 --patience 10 --seed 2026 --id b00ba4f2fd7f892250cdf379bfc4bc916c19a154bee665b33e0c7e05152f1e70"/>
    <n v="1"/>
    <b v="0"/>
    <b v="0"/>
    <s v="M"/>
    <n v="3"/>
    <b v="0"/>
    <n v="26"/>
    <n v="0"/>
    <n v="0"/>
    <b v="0"/>
    <n v="1E-3"/>
    <n v="256"/>
    <b v="1"/>
    <n v="1"/>
    <n v="3"/>
    <n v="0.1"/>
    <n v="0.1"/>
    <b v="0"/>
    <n v="32"/>
    <n v="2026"/>
    <n v="1"/>
    <n v="16"/>
    <s v="./dataset/Handwriting/"/>
    <s v="Monthly"/>
    <n v="10"/>
    <b v="0"/>
    <s v="classification"/>
    <s v="b00ba4f2fd7f892250cdf379bfc4bc916c19a154bee665b33e0c7e05152f1e70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andwriting', model='PatchTST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b00ba4f2fd7f892250cdf379bfc4bc916c19a154bee665b33e0c7e05152f1e70', device=device(type='cuda', index=0), num_class=26)"/>
    <x v="0"/>
    <s v="classification_Handwriting_PatchTST_UEA_ftM_sl152_ll48_pl0_dm128_nh8_el3_dl1_df256_expand2_dc4_fc1_ebtimeF_dtTrue_Exp_0b00ba4f2fd7f892250cdf379bfc4bc916c19a154bee665b33e0c7e05152f1e70"/>
    <s v="None"/>
    <n v="152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f2c63f2437154be6bc9e843297eb7baf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4231385974531', 'TRAIN_END': '1779134282515841646', 'TEST_START': '1779134282515993522', 'TEST_END': '1779134283800329578'}"/>
    <n v="7"/>
    <s v="[128, 128]"/>
    <n v="0"/>
    <s v="Handwriting"/>
    <s v="moving_avg"/>
    <s v="b00ba4f2fd7f892250cdf379bfc4bc916c19a154bee665b33e0c7e05152f1e70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andwriting_PatchTST_UEA_ftM_sl152_ll48_pl0_dm128_nh8_el3_dl1_df256_expand2_dc4_fc1_ebtimeF_dtTrue_Exp_0b00ba4f2fd7f892250cdf379bfc4bc916c19a154bee665b33e0c7e05152f1e70"/>
    <s v="run.py"/>
    <s v="sunwu"/>
    <x v="7"/>
    <x v="7"/>
  </r>
  <r>
    <s v="679875db92924b2f933767b13da754ef"/>
    <n v="32"/>
    <s v="FINISHED"/>
    <s v="mlflow-artifacts:/32/679875db92924b2f933767b13da754ef/artifacts"/>
    <s v="2026-05-18 19:56:46.684000+00:00"/>
    <s v="2026-05-18 19:56:52.017000+00:00"/>
    <n v="1.7791341728047201E+18"/>
    <n v="0.90827869411684403"/>
    <n v="0.89050708443771998"/>
    <n v="1.4927350610000001"/>
    <n v="0.90827869411684403"/>
    <n v="1.77913417280463E+18"/>
    <n v="0.89595375722543302"/>
    <n v="1.77913420662192E+18"/>
    <n v="1.7791337926836101E+18"/>
    <n v="240.96354285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PEMS-SF/ --model_id PEMS-SF --model PatchTST --data UEA --e_layers 3 --batch_size 32 --d_model 128 --d_ff 256 --top_k 3 --des Exp --itr 1 --learning_rate 0.001 --train_epochs 1000 --patience 10 --seed 1234 --id 5bc268d1149589e008b0fff2492434d0fd622ffbc64555a986f02ee38a930ed0"/>
    <n v="1"/>
    <b v="0"/>
    <b v="0"/>
    <s v="M"/>
    <n v="3"/>
    <b v="0"/>
    <n v="7"/>
    <n v="0"/>
    <n v="0"/>
    <b v="0"/>
    <n v="1E-3"/>
    <n v="256"/>
    <b v="1"/>
    <n v="1"/>
    <n v="3"/>
    <n v="0.1"/>
    <n v="0.1"/>
    <b v="0"/>
    <n v="32"/>
    <n v="1234"/>
    <n v="1"/>
    <n v="16"/>
    <s v="./dataset/PEMS-SF/"/>
    <s v="Monthly"/>
    <n v="10"/>
    <b v="0"/>
    <s v="classification"/>
    <s v="5bc268d1149589e008b0fff2492434d0fd622ffbc64555a986f02ee38a930ed0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PEMS-SF', model='PatchTST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5bc268d1149589e008b0fff2492434d0fd622ffbc64555a986f02ee38a930ed0', device=device(type='cuda', index=0), num_class=7)"/>
    <x v="0"/>
    <s v="classification_PEMS-SF_PatchTST_UEA_ftM_sl144_ll48_pl0_dm128_nh8_el3_dl1_df256_expand2_dc4_fc1_ebtimeF_dtTrue_Exp_05bc268d1149589e008b0fff2492434d0fd622ffbc64555a986f02ee38a930ed0"/>
    <s v="None"/>
    <n v="144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ff24245855914fde8d5d50a45fde5593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3792683610403', 'TRAIN_END': '1779134172804638227', 'TEST_START': '1779134172804723664', 'TEST_END': '1779134206621928316'}"/>
    <n v="7"/>
    <s v="[128, 128]"/>
    <n v="0"/>
    <s v="PEMS-SF"/>
    <s v="moving_avg"/>
    <s v="5bc268d1149589e008b0fff2492434d0fd622ffbc64555a986f02ee38a930ed0"/>
    <n v="96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PEMS-SF_PatchTST_UEA_ftM_sl144_ll48_pl0_dm128_nh8_el3_dl1_df256_expand2_dc4_fc1_ebtimeF_dtTrue_Exp_05bc268d1149589e008b0fff2492434d0fd622ffbc64555a986f02ee38a930ed0"/>
    <s v="run.py"/>
    <s v="sunwu"/>
    <x v="0"/>
    <x v="8"/>
  </r>
  <r>
    <s v="d14c23b0716a41f090eec6dcf4d16522"/>
    <n v="32"/>
    <s v="FINISHED"/>
    <s v="mlflow-artifacts:/32/d14c23b0716a41f090eec6dcf4d16522/artifacts"/>
    <s v="2026-05-18 19:50:41.112000+00:00"/>
    <s v="2026-05-18 19:50:46.016000+00:00"/>
    <n v="1.7791338393272801E+18"/>
    <n v="0.248820584178883"/>
    <n v="0.24697445160067"/>
    <n v="0.96712031399999998"/>
    <n v="0.248820584178883"/>
    <n v="1.77913383932721E+18"/>
    <n v="0.25095057034220503"/>
    <n v="1.7791338410550799E+18"/>
    <n v="1.77913368429439E+18"/>
    <n v="152.6778956789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EthanolConcentration/ --model_id EthanolConcentration --model PatchTST --data UEA --e_layers 3 --batch_size 32 --d_model 128 --d_ff 256 --top_k 3 --des Exp --itr 1 --learning_rate 0.001 --train_epochs 1000 --patience 10 --seed 2026 --id c94c89051f9a7724c2abd2baca301166c1381e55bd190d0eade46f4834ed18b8"/>
    <n v="1"/>
    <b v="0"/>
    <b v="0"/>
    <s v="M"/>
    <n v="3"/>
    <b v="0"/>
    <n v="4"/>
    <n v="0"/>
    <n v="0"/>
    <b v="0"/>
    <n v="1E-3"/>
    <n v="256"/>
    <b v="1"/>
    <n v="1"/>
    <n v="3"/>
    <n v="0.1"/>
    <n v="0.1"/>
    <b v="0"/>
    <n v="32"/>
    <n v="2026"/>
    <n v="1"/>
    <n v="16"/>
    <s v="./dataset/EthanolConcentration/"/>
    <s v="Monthly"/>
    <n v="10"/>
    <b v="0"/>
    <s v="classification"/>
    <s v="c94c89051f9a7724c2abd2baca301166c1381e55bd190d0eade46f4834ed18b8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EthanolConcentration', model='PatchTST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c94c89051f9a7724c2abd2baca301166c1381e55bd190d0eade46f4834ed18b8', device=device(type='cuda', index=0), num_class=4)"/>
    <x v="0"/>
    <s v="classification_EthanolConcentration_PatchTST_UEA_ftM_sl1751_ll48_pl0_dm128_nh8_el3_dl1_df256_expand2_dc4_fc1_ebtimeF_dtTrue_Exp_0c94c89051f9a7724c2abd2baca301166c1381e55bd190d0eade46f4834ed18b8"/>
    <s v="None"/>
    <n v="1751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a9fda40c85054ab2b12128fbcc24e444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3684294396897', 'TRAIN_END': '1779133839327210136', 'TEST_START': '1779133839327286082', 'TEST_END': '1779133841055089268'}"/>
    <n v="7"/>
    <s v="[128, 128]"/>
    <n v="0"/>
    <s v="EthanolConcentration"/>
    <s v="moving_avg"/>
    <s v="c94c89051f9a7724c2abd2baca301166c1381e55bd190d0eade46f4834ed18b8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EthanolConcentration_PatchTST_UEA_ftM_sl1751_ll48_pl0_dm128_nh8_el3_dl1_df256_expand2_dc4_fc1_ebtimeF_dtTrue_Exp_0c94c89051f9a7724c2abd2baca301166c1381e55bd190d0eade46f4834ed18b8"/>
    <s v="run.py"/>
    <s v="sunwu"/>
    <x v="8"/>
    <x v="9"/>
  </r>
  <r>
    <s v="5642acb619c449b882926f5e2eae0032"/>
    <n v="32"/>
    <s v="FINISHED"/>
    <s v="mlflow-artifacts:/32/5642acb619c449b882926f5e2eae0032/artifacts"/>
    <s v="2026-05-18 19:47:39.046000+00:00"/>
    <s v="2026-05-18 19:47:44.261000+00:00"/>
    <n v="1.7791336580711099E+18"/>
    <n v="0.83853411024928504"/>
    <n v="0.82910473989858502"/>
    <n v="0.40907844599999998"/>
    <n v="0.83853411024928504"/>
    <n v="1.77913365807104E+18"/>
    <n v="0.83125000000000004"/>
    <n v="1.7791336589933901E+18"/>
    <n v="1.77913363103264E+18"/>
    <n v="26.2936473070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UWaveGestureLibrary/ --model_id UWaveGestureLibrary --model PatchTST --data UEA --e_layers 3 --batch_size 32 --d_model 128 --d_ff 256 --top_k 3 --des Exp --itr 1 --learning_rate 0.001 --train_epochs 1000 --patience 10 --seed 2026 --id 5451565b718b9719a76e6518a8f9e3fd88be843cac629e29fd7c8db3fa0909e5"/>
    <n v="1"/>
    <b v="0"/>
    <b v="0"/>
    <s v="M"/>
    <n v="3"/>
    <b v="0"/>
    <n v="8"/>
    <n v="0"/>
    <n v="0"/>
    <b v="0"/>
    <n v="1E-3"/>
    <n v="256"/>
    <b v="1"/>
    <n v="1"/>
    <n v="3"/>
    <n v="0.1"/>
    <n v="0.1"/>
    <b v="0"/>
    <n v="32"/>
    <n v="2026"/>
    <n v="1"/>
    <n v="16"/>
    <s v="./dataset/UWaveGestureLibrary/"/>
    <s v="Monthly"/>
    <n v="10"/>
    <b v="0"/>
    <s v="classification"/>
    <s v="5451565b718b9719a76e6518a8f9e3fd88be843cac629e29fd7c8db3fa0909e5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UWaveGestureLibrary', model='PatchTST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5451565b718b9719a76e6518a8f9e3fd88be843cac629e29fd7c8db3fa0909e5', device=device(type='cuda', index=0), num_class=8)"/>
    <x v="0"/>
    <s v="classification_UWaveGestureLibrary_PatchTST_UEA_ftM_sl315_ll48_pl0_dm128_nh8_el3_dl1_df256_expand2_dc4_fc1_ebtimeF_dtTrue_Exp_05451565b718b9719a76e6518a8f9e3fd88be843cac629e29fd7c8db3fa0909e5"/>
    <s v="None"/>
    <n v="315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8251d0838fcd42ebaa1ce8b4af040b48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3631032642598', 'TRAIN_END': '1779133658071040141', 'TEST_START': '1779133658071110265', 'TEST_END': '1779133658993399338'}"/>
    <n v="7"/>
    <s v="[128, 128]"/>
    <n v="0"/>
    <s v="UWaveGestureLibrary"/>
    <s v="moving_avg"/>
    <s v="5451565b718b9719a76e6518a8f9e3fd88be843cac629e29fd7c8db3fa0909e5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UWaveGestureLibrary_PatchTST_UEA_ftM_sl315_ll48_pl0_dm128_nh8_el3_dl1_df256_expand2_dc4_fc1_ebtimeF_dtTrue_Exp_05451565b718b9719a76e6518a8f9e3fd88be843cac629e29fd7c8db3fa0909e5"/>
    <s v="run.py"/>
    <s v="sunwu"/>
    <x v="9"/>
    <x v="10"/>
  </r>
  <r>
    <s v="62daa339cae840f89b6bf4869aa765db"/>
    <n v="32"/>
    <s v="FINISHED"/>
    <s v="mlflow-artifacts:/32/62daa339cae840f89b6bf4869aa765db/artifacts"/>
    <s v="2026-05-18 19:46:48.992000+00:00"/>
    <s v="2026-05-18 19:46:54.576000+00:00"/>
    <n v="1.7791336029592499E+18"/>
    <n v="0.98285303026744797"/>
    <n v="0.982717096148637"/>
    <n v="0.64564686800000004"/>
    <n v="0.98285303026744797"/>
    <n v="1.77913360295919E+18"/>
    <n v="0.98271941791723505"/>
    <n v="1.77913360895139E+18"/>
    <n v="1.7791334995698601E+18"/>
    <n v="77.973668321999995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pokenArabicDigits/ --model_id SpokenArabicDigits --model PatchTST --data UEA --e_layers 3 --batch_size 32 --d_model 128 --d_ff 256 --top_k 3 --des Exp --itr 1 --learning_rate 0.001 --train_epochs 1000 --patience 10 --seed 1234 --id 9f965f897dbdc3a1f7b98b8fda6499f7ad8d4d4ac762b7b5bab413d57e5f04c3"/>
    <n v="1"/>
    <b v="0"/>
    <b v="0"/>
    <s v="M"/>
    <n v="3"/>
    <b v="0"/>
    <n v="10"/>
    <n v="0"/>
    <n v="0"/>
    <b v="0"/>
    <n v="1E-3"/>
    <n v="256"/>
    <b v="1"/>
    <n v="1"/>
    <n v="3"/>
    <n v="0.1"/>
    <n v="0.1"/>
    <b v="0"/>
    <n v="32"/>
    <n v="1234"/>
    <n v="1"/>
    <n v="16"/>
    <s v="./dataset/SpokenArabicDigits/"/>
    <s v="Monthly"/>
    <n v="10"/>
    <b v="0"/>
    <s v="classification"/>
    <s v="9f965f897dbdc3a1f7b98b8fda6499f7ad8d4d4ac762b7b5bab413d57e5f04c3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pokenArabicDigits', model='PatchTST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9f965f897dbdc3a1f7b98b8fda6499f7ad8d4d4ac762b7b5bab413d57e5f04c3', device=device(type='cuda', index=0), num_class=10)"/>
    <x v="0"/>
    <s v="classification_SpokenArabicDigits_PatchTST_UEA_ftM_sl93_ll48_pl0_dm128_nh8_el3_dl1_df256_expand2_dc4_fc1_ebtimeF_dtTrue_Exp_09f965f897dbdc3a1f7b98b8fda6499f7ad8d4d4ac762b7b5bab413d57e5f04c3"/>
    <s v="None"/>
    <n v="93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e439f96163924537bbaf2a8f4e5c7690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3499569861817', 'TRAIN_END': '1779133602959193065', 'TEST_START': '1779133602959254726', 'TEST_END': '1779133608951393077'}"/>
    <n v="7"/>
    <s v="[128, 128]"/>
    <n v="0"/>
    <s v="SpokenArabicDigits"/>
    <s v="moving_avg"/>
    <s v="9f965f897dbdc3a1f7b98b8fda6499f7ad8d4d4ac762b7b5bab413d57e5f04c3"/>
    <n v="1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pokenArabicDigits_PatchTST_UEA_ftM_sl93_ll48_pl0_dm128_nh8_el3_dl1_df256_expand2_dc4_fc1_ebtimeF_dtTrue_Exp_09f965f897dbdc3a1f7b98b8fda6499f7ad8d4d4ac762b7b5bab413d57e5f04c3"/>
    <s v="run.py"/>
    <s v="sunwu"/>
    <x v="1"/>
    <x v="11"/>
  </r>
  <r>
    <s v="531cd0dae75d4353b6dee8be78125932"/>
    <n v="32"/>
    <s v="FINISHED"/>
    <s v="mlflow-artifacts:/32/531cd0dae75d4353b6dee8be78125932/artifacts"/>
    <s v="2026-05-18 19:45:44.483000+00:00"/>
    <s v="2026-05-18 19:45:50.222000+00:00"/>
    <n v="1.7791334642888801E+18"/>
    <n v="0.65725330439623897"/>
    <n v="0.65718287383243001"/>
    <n v="1.908799946"/>
    <n v="0.65725330439623897"/>
    <n v="1.77913346428882E+18"/>
    <n v="0.65720771850170201"/>
    <n v="1.77913354444574E+18"/>
    <n v="1.7791329633586601E+18"/>
    <n v="210.827361604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FaceDetection/ --model_id FaceDetection --model PatchTST --data UEA --e_layers 3 --batch_size 32 --d_model 128 --d_ff 256 --top_k 3 --des Exp --itr 1 --learning_rate 0.001 --train_epochs 1000 --patience 10 --seed 1234 --id efd9939aeca52fe7d5775db9173ce8b3b3a11949880f2b88d3fb4a7a49fdcec7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4"/>
    <n v="1"/>
    <n v="16"/>
    <s v="./dataset/FaceDetection/"/>
    <s v="Monthly"/>
    <n v="10"/>
    <b v="0"/>
    <s v="classification"/>
    <s v="efd9939aeca52fe7d5775db9173ce8b3b3a11949880f2b88d3fb4a7a49fdcec7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FaceDetection', model='PatchTST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efd9939aeca52fe7d5775db9173ce8b3b3a11949880f2b88d3fb4a7a49fdcec7', device=device(type='cuda', index=0), num_class=2)"/>
    <x v="0"/>
    <s v="classification_FaceDetection_PatchTST_UEA_ftM_sl62_ll48_pl0_dm128_nh8_el3_dl1_df256_expand2_dc4_fc1_ebtimeF_dtTrue_Exp_0efd9939aeca52fe7d5775db9173ce8b3b3a11949880f2b88d3fb4a7a49fdcec7"/>
    <s v="None"/>
    <n v="62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5c4d864ed5aa4b62bd8426fd89bc6483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2963358666151', 'TRAIN_END': '1779133464288822170', 'TEST_START': '1779133464288880317', 'TEST_END': '1779133544445740908'}"/>
    <n v="7"/>
    <s v="[128, 128]"/>
    <n v="0"/>
    <s v="FaceDetection"/>
    <s v="moving_avg"/>
    <s v="efd9939aeca52fe7d5775db9173ce8b3b3a11949880f2b88d3fb4a7a49fdcec7"/>
    <n v="144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FaceDetection_PatchTST_UEA_ftM_sl62_ll48_pl0_dm128_nh8_el3_dl1_df256_expand2_dc4_fc1_ebtimeF_dtTrue_Exp_0efd9939aeca52fe7d5775db9173ce8b3b3a11949880f2b88d3fb4a7a49fdcec7"/>
    <s v="run.py"/>
    <s v="sunwu"/>
    <x v="2"/>
    <x v="12"/>
  </r>
  <r>
    <s v="17d0605c23074ba59ff78fab89cb51bc"/>
    <n v="32"/>
    <s v="FINISHED"/>
    <s v="mlflow-artifacts:/32/17d0605c23074ba59ff78fab89cb51bc/artifacts"/>
    <s v="2026-05-18 19:44:12.013000+00:00"/>
    <s v="2026-05-18 19:44:16.521000+00:00"/>
    <n v="1.7791334504562801E+18"/>
    <n v="0.57295173961840595"/>
    <n v="0.57115009746588696"/>
    <n v="0.82363883199999999"/>
    <n v="0.57295173961840595"/>
    <n v="1.7791334504562199E+18"/>
    <n v="0.57222222222222197"/>
    <n v="1.7791334519626601E+18"/>
    <n v="1.77913341366319E+18"/>
    <n v="34.46753746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2/ --model_id SelfRegulationSCP2 --model PatchTST --data UEA --e_layers 3 --batch_size 32 --d_model 128 --d_ff 256 --top_k 3 --des Exp --itr 1 --learning_rate 0.001 --train_epochs 1000 --patience 10 --seed 1234 --id 169b13dbf3131b996d8236983c396982f8795ea314dda4934ea6c65f0a2e3bac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4"/>
    <n v="1"/>
    <n v="16"/>
    <s v="./dataset/SelfRegulationSCP2/"/>
    <s v="Monthly"/>
    <n v="10"/>
    <b v="0"/>
    <s v="classification"/>
    <s v="169b13dbf3131b996d8236983c396982f8795ea314dda4934ea6c65f0a2e3bac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2', model='PatchTST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169b13dbf3131b996d8236983c396982f8795ea314dda4934ea6c65f0a2e3bac', device=device(type='cuda', index=0), num_class=2)"/>
    <x v="0"/>
    <s v="classification_SelfRegulationSCP2_PatchTST_UEA_ftM_sl1152_ll48_pl0_dm128_nh8_el3_dl1_df256_expand2_dc4_fc1_ebtimeF_dtTrue_Exp_0169b13dbf3131b996d8236983c396982f8795ea314dda4934ea6c65f0a2e3bac"/>
    <s v="None"/>
    <n v="1152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e0b0720e2bc4f2785addbd6c15614f2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3413663192764', 'TRAIN_END': '1779133450456226976', 'TEST_START': '1779133450456289601', 'TEST_END': '1779133451962665216'}"/>
    <n v="7"/>
    <s v="[128, 128]"/>
    <n v="0"/>
    <s v="SelfRegulationSCP2"/>
    <s v="moving_avg"/>
    <s v="169b13dbf3131b996d8236983c396982f8795ea314dda4934ea6c65f0a2e3bac"/>
    <n v="7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2_PatchTST_UEA_ftM_sl1152_ll48_pl0_dm128_nh8_el3_dl1_df256_expand2_dc4_fc1_ebtimeF_dtTrue_Exp_0169b13dbf3131b996d8236983c396982f8795ea314dda4934ea6c65f0a2e3bac"/>
    <s v="run.py"/>
    <s v="sunwu"/>
    <x v="3"/>
    <x v="13"/>
  </r>
  <r>
    <s v="0e15e569d02c47469d2dd11e97f859b4"/>
    <n v="32"/>
    <s v="FINISHED"/>
    <s v="mlflow-artifacts:/32/0e15e569d02c47469d2dd11e97f859b4/artifacts"/>
    <s v="2026-05-18 19:43:01.901000+00:00"/>
    <s v="2026-05-18 19:43:08.980000+00:00"/>
    <n v="1.7791333804880901E+18"/>
    <n v="0.82465545926110295"/>
    <n v="0.82220246460358803"/>
    <n v="0.53214139000000005"/>
    <n v="0.82465545926110295"/>
    <n v="1.77913338048797E+18"/>
    <n v="0.82252559726962404"/>
    <n v="1.7791333818585101E+18"/>
    <n v="1.7791333367784801E+18"/>
    <n v="41.035646044000003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1/ --model_id SelfRegulationSCP1 --model PatchTST --data UEA --e_layers 3 --batch_size 32 --d_model 128 --d_ff 256 --top_k 3 --des Exp --itr 1 --learning_rate 0.001 --train_epochs 1000 --patience 10 --seed 1234 --id 8489b0bbbc384ea3a007bd7516680384bb98005b1dfd4123defa8460da101198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4"/>
    <n v="1"/>
    <n v="16"/>
    <s v="./dataset/SelfRegulationSCP1/"/>
    <s v="Monthly"/>
    <n v="10"/>
    <b v="0"/>
    <s v="classification"/>
    <s v="8489b0bbbc384ea3a007bd7516680384bb98005b1dfd4123defa8460da101198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1', model='PatchTST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8489b0bbbc384ea3a007bd7516680384bb98005b1dfd4123defa8460da101198', device=device(type='cuda', index=0), num_class=2)"/>
    <x v="0"/>
    <s v="classification_SelfRegulationSCP1_PatchTST_UEA_ftM_sl896_ll48_pl0_dm128_nh8_el3_dl1_df256_expand2_dc4_fc1_ebtimeF_dtTrue_Exp_08489b0bbbc384ea3a007bd7516680384bb98005b1dfd4123defa8460da101198"/>
    <s v="None"/>
    <n v="896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b05a0d0461564abe9950cc88f299cc04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3336778480006', 'TRAIN_END': '1779133380487972326', 'TEST_START': '1779133380488097626', 'TEST_END': '1779133381858515001'}"/>
    <n v="7"/>
    <s v="[128, 128]"/>
    <n v="0"/>
    <s v="SelfRegulationSCP1"/>
    <s v="moving_avg"/>
    <s v="8489b0bbbc384ea3a007bd7516680384bb98005b1dfd4123defa8460da101198"/>
    <n v="6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1_PatchTST_UEA_ftM_sl896_ll48_pl0_dm128_nh8_el3_dl1_df256_expand2_dc4_fc1_ebtimeF_dtTrue_Exp_08489b0bbbc384ea3a007bd7516680384bb98005b1dfd4123defa8460da101198"/>
    <s v="run.py"/>
    <s v="sunwu"/>
    <x v="4"/>
    <x v="14"/>
  </r>
  <r>
    <s v="222b756722e749f08a56b39b2186bc8f"/>
    <n v="32"/>
    <s v="FINISHED"/>
    <s v="mlflow-artifacts:/32/222b756722e749f08a56b39b2186bc8f/artifacts"/>
    <s v="2026-05-18 19:41:51.839000+00:00"/>
    <s v="2026-05-18 19:41:58.482000+00:00"/>
    <n v="1.7791333105223601E+18"/>
    <n v="0.96104100992763697"/>
    <n v="0.959699220643083"/>
    <n v="0.45268073399999997"/>
    <n v="0.96104100992763697"/>
    <n v="1.7791333105222999E+18"/>
    <n v="0.95945945945945899"/>
    <n v="1.7791333117811899E+18"/>
    <n v="1.7791332461809001E+18"/>
    <n v="62.007513576999997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JapaneseVowels/ --model_id JapaneseVowels --model PatchTST --data UEA --e_layers 3 --batch_size 32 --d_model 128 --d_ff 256 --top_k 3 --des Exp --itr 1 --learning_rate 0.001 --train_epochs 1000 --patience 10 --seed 1234 --id d94be3a0a0a04627575cb5ed43b94592717841d509b434d5aea2c34eb26aebf8"/>
    <n v="1"/>
    <b v="0"/>
    <b v="0"/>
    <s v="M"/>
    <n v="3"/>
    <b v="0"/>
    <n v="9"/>
    <n v="0"/>
    <n v="0"/>
    <b v="0"/>
    <n v="1E-3"/>
    <n v="256"/>
    <b v="1"/>
    <n v="1"/>
    <n v="3"/>
    <n v="0.1"/>
    <n v="0.1"/>
    <b v="0"/>
    <n v="32"/>
    <n v="1234"/>
    <n v="1"/>
    <n v="16"/>
    <s v="./dataset/JapaneseVowels/"/>
    <s v="Monthly"/>
    <n v="10"/>
    <b v="0"/>
    <s v="classification"/>
    <s v="d94be3a0a0a04627575cb5ed43b94592717841d509b434d5aea2c34eb26aebf8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JapaneseVowels', model='PatchTST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d94be3a0a0a04627575cb5ed43b94592717841d509b434d5aea2c34eb26aebf8', device=device(type='cuda', index=0), num_class=9)"/>
    <x v="0"/>
    <s v="classification_JapaneseVowels_PatchTST_UEA_ftM_sl29_ll48_pl0_dm128_nh8_el3_dl1_df256_expand2_dc4_fc1_ebtimeF_dtTrue_Exp_0d94be3a0a0a04627575cb5ed43b94592717841d509b434d5aea2c34eb26aebf8"/>
    <s v="None"/>
    <n v="29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d0184ed33aaf4e558fd6ac50c52dac70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3246180905834', 'TRAIN_END': '1779133310522302686', 'TEST_START': '1779133310522367412', 'TEST_END': '1779133311781197969'}"/>
    <n v="7"/>
    <s v="[128, 128]"/>
    <n v="0"/>
    <s v="JapaneseVowels"/>
    <s v="moving_avg"/>
    <s v="d94be3a0a0a04627575cb5ed43b94592717841d509b434d5aea2c34eb26aebf8"/>
    <n v="12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JapaneseVowels_PatchTST_UEA_ftM_sl29_ll48_pl0_dm128_nh8_el3_dl1_df256_expand2_dc4_fc1_ebtimeF_dtTrue_Exp_0d94be3a0a0a04627575cb5ed43b94592717841d509b434d5aea2c34eb26aebf8"/>
    <s v="run.py"/>
    <s v="sunwu"/>
    <x v="5"/>
    <x v="15"/>
  </r>
  <r>
    <s v="bd892d90e322472daeffb125e9f0094d"/>
    <n v="32"/>
    <s v="FINISHED"/>
    <s v="mlflow-artifacts:/32/bd892d90e322472daeffb125e9f0094d/artifacts"/>
    <s v="2026-05-18 19:40:17.082000+00:00"/>
    <s v="2026-05-18 19:40:25.755000+00:00"/>
    <n v="1.7791332128995899E+18"/>
    <n v="0.64650406504064994"/>
    <n v="0.65524231865695204"/>
    <n v="0.57874396400000006"/>
    <n v="0.64650406504064994"/>
    <n v="1.77913321289951E+18"/>
    <n v="0.66829268292682897"/>
    <n v="1.7791332170457101E+18"/>
    <n v="1.77913317681229E+18"/>
    <n v="25.65946545399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eartbeat/ --model_id Heartbeat --model PatchTST --data UEA --e_layers 3 --batch_size 32 --d_model 128 --d_ff 256 --top_k 3 --des Exp --itr 1 --learning_rate 0.001 --train_epochs 1000 --patience 10 --seed 1234 --id 3c4b8c4232181f8fb19900cf831d1b05f3e4a8e658841e2c139477f69f926b86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4"/>
    <n v="1"/>
    <n v="16"/>
    <s v="./dataset/Heartbeat/"/>
    <s v="Monthly"/>
    <n v="10"/>
    <b v="0"/>
    <s v="classification"/>
    <s v="3c4b8c4232181f8fb19900cf831d1b05f3e4a8e658841e2c139477f69f926b86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eartbeat', model='PatchTST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3c4b8c4232181f8fb19900cf831d1b05f3e4a8e658841e2c139477f69f926b86', device=device(type='cuda', index=0), num_class=2)"/>
    <x v="0"/>
    <s v="classification_Heartbeat_PatchTST_UEA_ftM_sl405_ll48_pl0_dm128_nh8_el3_dl1_df256_expand2_dc4_fc1_ebtimeF_dtTrue_Exp_03c4b8c4232181f8fb19900cf831d1b05f3e4a8e658841e2c139477f69f926b86"/>
    <s v="None"/>
    <n v="405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9fab81ebb4274dd89909f09f70b7917d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3176812290729', 'TRAIN_END': '1779133212899514851', 'TEST_START': '1779133212899597236', 'TEST_END': '1779133217045718345'}"/>
    <n v="7"/>
    <s v="[128, 128]"/>
    <n v="0"/>
    <s v="Heartbeat"/>
    <s v="moving_avg"/>
    <s v="3c4b8c4232181f8fb19900cf831d1b05f3e4a8e658841e2c139477f69f926b86"/>
    <n v="61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eartbeat_PatchTST_UEA_ftM_sl405_ll48_pl0_dm128_nh8_el3_dl1_df256_expand2_dc4_fc1_ebtimeF_dtTrue_Exp_03c4b8c4232181f8fb19900cf831d1b05f3e4a8e658841e2c139477f69f926b86"/>
    <s v="run.py"/>
    <s v="sunwu"/>
    <x v="6"/>
    <x v="16"/>
  </r>
  <r>
    <s v="2c6c4a6b0d2c43a1a4e804791fc69795"/>
    <n v="32"/>
    <s v="FINISHED"/>
    <s v="mlflow-artifacts:/32/2c6c4a6b0d2c43a1a4e804791fc69795/artifacts"/>
    <s v="2026-05-18 19:38:58.932000+00:00"/>
    <s v="2026-05-18 19:39:03.887000+00:00"/>
    <n v="1.7791331376301701E+18"/>
    <n v="0.31637647030378202"/>
    <n v="0.26653270289275699"/>
    <n v="0.49379663600000001"/>
    <n v="0.31637647030378202"/>
    <n v="1.77913313763009E+18"/>
    <n v="0.28000000000000003"/>
    <n v="1.7791331388864E+18"/>
    <n v="1.77913306791567E+18"/>
    <n v="67.633391904000007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andwriting/ --model_id Handwriting --model PatchTST --data UEA --e_layers 3 --batch_size 32 --d_model 128 --d_ff 256 --top_k 3 --des Exp --itr 1 --learning_rate 0.001 --train_epochs 1000 --patience 10 --seed 1234 --id f2fd4a3bfa1eb68b97b98484ca43dbd03e0da99f37fd4b88adf7ccad828c7d1a"/>
    <n v="1"/>
    <b v="0"/>
    <b v="0"/>
    <s v="M"/>
    <n v="3"/>
    <b v="0"/>
    <n v="26"/>
    <n v="0"/>
    <n v="0"/>
    <b v="0"/>
    <n v="1E-3"/>
    <n v="256"/>
    <b v="1"/>
    <n v="1"/>
    <n v="3"/>
    <n v="0.1"/>
    <n v="0.1"/>
    <b v="0"/>
    <n v="32"/>
    <n v="1234"/>
    <n v="1"/>
    <n v="16"/>
    <s v="./dataset/Handwriting/"/>
    <s v="Monthly"/>
    <n v="10"/>
    <b v="0"/>
    <s v="classification"/>
    <s v="f2fd4a3bfa1eb68b97b98484ca43dbd03e0da99f37fd4b88adf7ccad828c7d1a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andwriting', model='PatchTST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f2fd4a3bfa1eb68b97b98484ca43dbd03e0da99f37fd4b88adf7ccad828c7d1a', device=device(type='cuda', index=0), num_class=26)"/>
    <x v="0"/>
    <s v="classification_Handwriting_PatchTST_UEA_ftM_sl152_ll48_pl0_dm128_nh8_el3_dl1_df256_expand2_dc4_fc1_ebtimeF_dtTrue_Exp_0f2fd4a3bfa1eb68b97b98484ca43dbd03e0da99f37fd4b88adf7ccad828c7d1a"/>
    <s v="None"/>
    <n v="152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dfc3fd89c4ef42ceabac0275dd765585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3067915670478', 'TRAIN_END': '1779133137630096518', 'TEST_START': '1779133137630174465', 'TEST_END': '1779133138886401640'}"/>
    <n v="7"/>
    <s v="[128, 128]"/>
    <n v="0"/>
    <s v="Handwriting"/>
    <s v="moving_avg"/>
    <s v="f2fd4a3bfa1eb68b97b98484ca43dbd03e0da99f37fd4b88adf7ccad828c7d1a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andwriting_PatchTST_UEA_ftM_sl152_ll48_pl0_dm128_nh8_el3_dl1_df256_expand2_dc4_fc1_ebtimeF_dtTrue_Exp_0f2fd4a3bfa1eb68b97b98484ca43dbd03e0da99f37fd4b88adf7ccad828c7d1a"/>
    <s v="run.py"/>
    <s v="sunwu"/>
    <x v="7"/>
    <x v="17"/>
  </r>
  <r>
    <s v="d0cf8d425b17488dbf767f63a55e2019"/>
    <n v="32"/>
    <s v="FINISHED"/>
    <s v="mlflow-artifacts:/32/d0cf8d425b17488dbf767f63a55e2019/artifacts"/>
    <s v="2026-05-18 19:37:19.273000+00:00"/>
    <s v="2026-05-18 19:37:26.959000+00:00"/>
    <n v="1.7791330056071099E+18"/>
    <n v="0.87357344004742798"/>
    <n v="0.84979588050510502"/>
    <n v="1.519643715"/>
    <n v="0.87357344004742798"/>
    <n v="1.77913300560702E+18"/>
    <n v="0.84393063583814998"/>
    <n v="1.77913303922849E+18"/>
    <n v="1.77913259301677E+18"/>
    <n v="300.38087965199998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PEMS-SF/ --model_id PEMS-SF --model PatchTST --data UEA --e_layers 3 --batch_size 32 --d_model 128 --d_ff 256 --top_k 3 --des Exp --itr 1 --learning_rate 0.001 --train_epochs 1000 --patience 10 --seed 123 --id d3a38a0b26697a42830d5f2e084db1de71b4175dec39b4fca9a5a2f0cdddcff9"/>
    <n v="1"/>
    <b v="0"/>
    <b v="0"/>
    <s v="M"/>
    <n v="3"/>
    <b v="0"/>
    <n v="7"/>
    <n v="0"/>
    <n v="0"/>
    <b v="0"/>
    <n v="1E-3"/>
    <n v="256"/>
    <b v="1"/>
    <n v="1"/>
    <n v="3"/>
    <n v="0.1"/>
    <n v="0.1"/>
    <b v="0"/>
    <n v="32"/>
    <n v="123"/>
    <n v="1"/>
    <n v="16"/>
    <s v="./dataset/PEMS-SF/"/>
    <s v="Monthly"/>
    <n v="10"/>
    <b v="0"/>
    <s v="classification"/>
    <s v="d3a38a0b26697a42830d5f2e084db1de71b4175dec39b4fca9a5a2f0cdddcff9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PEMS-SF', model='PatchTST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d3a38a0b26697a42830d5f2e084db1de71b4175dec39b4fca9a5a2f0cdddcff9', device=device(type='cuda', index=0), num_class=7)"/>
    <x v="0"/>
    <s v="classification_PEMS-SF_PatchTST_UEA_ftM_sl144_ll48_pl0_dm128_nh8_el3_dl1_df256_expand2_dc4_fc1_ebtimeF_dtTrue_Exp_0d3a38a0b26697a42830d5f2e084db1de71b4175dec39b4fca9a5a2f0cdddcff9"/>
    <s v="None"/>
    <n v="144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d37e141887074dba87970adba187d994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2593016771464', 'TRAIN_END': '1779133005607025380', 'TEST_START': '1779133005607116249', 'TEST_END': '1779133039228490783'}"/>
    <n v="7"/>
    <s v="[128, 128]"/>
    <n v="0"/>
    <s v="PEMS-SF"/>
    <s v="moving_avg"/>
    <s v="d3a38a0b26697a42830d5f2e084db1de71b4175dec39b4fca9a5a2f0cdddcff9"/>
    <n v="96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PEMS-SF_PatchTST_UEA_ftM_sl144_ll48_pl0_dm128_nh8_el3_dl1_df256_expand2_dc4_fc1_ebtimeF_dtTrue_Exp_0d3a38a0b26697a42830d5f2e084db1de71b4175dec39b4fca9a5a2f0cdddcff9"/>
    <s v="run.py"/>
    <s v="sunwu"/>
    <x v="0"/>
    <x v="18"/>
  </r>
  <r>
    <s v="96074a3476974387b9b6f308c3c28adb"/>
    <n v="32"/>
    <s v="FINISHED"/>
    <s v="mlflow-artifacts:/32/96074a3476974387b9b6f308c3c28adb/artifacts"/>
    <s v="2026-05-18 19:29:12.384000+00:00"/>
    <s v="2026-05-18 19:29:17.929000+00:00"/>
    <n v="1.7791325507711601E+18"/>
    <n v="0.226785408114895"/>
    <n v="0.22873998502992901"/>
    <n v="1.001500007"/>
    <n v="0.226785408114895"/>
    <n v="1.7791325507710999E+18"/>
    <n v="0.288973384030418"/>
    <n v="1.77913255233806E+18"/>
    <n v="1.77913248960547E+18"/>
    <n v="58.8817138530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EthanolConcentration/ --model_id EthanolConcentration --model PatchTST --data UEA --e_layers 3 --batch_size 32 --d_model 128 --d_ff 256 --top_k 3 --des Exp --itr 1 --learning_rate 0.001 --train_epochs 1000 --patience 10 --seed 1234 --id bf36f7ca9bd47035d132afd58f006f81f6f88e7da538659a3e6a12e7a39ff6bc"/>
    <n v="1"/>
    <b v="0"/>
    <b v="0"/>
    <s v="M"/>
    <n v="3"/>
    <b v="0"/>
    <n v="4"/>
    <n v="0"/>
    <n v="0"/>
    <b v="0"/>
    <n v="1E-3"/>
    <n v="256"/>
    <b v="1"/>
    <n v="1"/>
    <n v="3"/>
    <n v="0.1"/>
    <n v="0.1"/>
    <b v="0"/>
    <n v="32"/>
    <n v="1234"/>
    <n v="1"/>
    <n v="16"/>
    <s v="./dataset/EthanolConcentration/"/>
    <s v="Monthly"/>
    <n v="10"/>
    <b v="0"/>
    <s v="classification"/>
    <s v="bf36f7ca9bd47035d132afd58f006f81f6f88e7da538659a3e6a12e7a39ff6bc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EthanolConcentration', model='PatchTST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bf36f7ca9bd47035d132afd58f006f81f6f88e7da538659a3e6a12e7a39ff6bc', device=device(type='cuda', index=0), num_class=4)"/>
    <x v="0"/>
    <s v="classification_EthanolConcentration_PatchTST_UEA_ftM_sl1751_ll48_pl0_dm128_nh8_el3_dl1_df256_expand2_dc4_fc1_ebtimeF_dtTrue_Exp_0bf36f7ca9bd47035d132afd58f006f81f6f88e7da538659a3e6a12e7a39ff6bc"/>
    <s v="None"/>
    <n v="1751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819904d3252349909b159fcc53d62994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2489605475395', 'TRAIN_END': '1779132550771105293', 'TEST_START': '1779132550771162334', 'TEST_END': '1779132552338066117'}"/>
    <n v="7"/>
    <s v="[128, 128]"/>
    <n v="0"/>
    <s v="EthanolConcentration"/>
    <s v="moving_avg"/>
    <s v="bf36f7ca9bd47035d132afd58f006f81f6f88e7da538659a3e6a12e7a39ff6bc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EthanolConcentration_PatchTST_UEA_ftM_sl1751_ll48_pl0_dm128_nh8_el3_dl1_df256_expand2_dc4_fc1_ebtimeF_dtTrue_Exp_0bf36f7ca9bd47035d132afd58f006f81f6f88e7da538659a3e6a12e7a39ff6bc"/>
    <s v="run.py"/>
    <s v="sunwu"/>
    <x v="8"/>
    <x v="19"/>
  </r>
  <r>
    <s v="a2488b36513944faaefc5eb7ef92f190"/>
    <n v="32"/>
    <s v="FINISHED"/>
    <s v="mlflow-artifacts:/32/a2488b36513944faaefc5eb7ef92f190/artifacts"/>
    <s v="2026-05-18 19:27:40.526000+00:00"/>
    <s v="2026-05-18 19:27:46.630000+00:00"/>
    <n v="1.7791324593470999E+18"/>
    <n v="0.856222293038298"/>
    <n v="0.85296579010009399"/>
    <n v="0.49273485"/>
    <n v="0.856222293038298"/>
    <n v="1.77913245934703E+18"/>
    <n v="0.85312500000000002"/>
    <n v="1.7791324604679401E+18"/>
    <n v="1.77913243560674E+18"/>
    <n v="22.922927562999998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UWaveGestureLibrary/ --model_id UWaveGestureLibrary --model PatchTST --data UEA --e_layers 3 --batch_size 32 --d_model 128 --d_ff 256 --top_k 3 --des Exp --itr 1 --learning_rate 0.001 --train_epochs 1000 --patience 10 --seed 1234 --id 9900f9c6ea2e3adc4255fd0dc6a99547b7ed32a65e0941a51dbdcb17756f15ab"/>
    <n v="1"/>
    <b v="0"/>
    <b v="0"/>
    <s v="M"/>
    <n v="3"/>
    <b v="0"/>
    <n v="8"/>
    <n v="0"/>
    <n v="0"/>
    <b v="0"/>
    <n v="1E-3"/>
    <n v="256"/>
    <b v="1"/>
    <n v="1"/>
    <n v="3"/>
    <n v="0.1"/>
    <n v="0.1"/>
    <b v="0"/>
    <n v="32"/>
    <n v="1234"/>
    <n v="1"/>
    <n v="16"/>
    <s v="./dataset/UWaveGestureLibrary/"/>
    <s v="Monthly"/>
    <n v="10"/>
    <b v="0"/>
    <s v="classification"/>
    <s v="9900f9c6ea2e3adc4255fd0dc6a99547b7ed32a65e0941a51dbdcb17756f15ab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UWaveGestureLibrary', model='PatchTST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9900f9c6ea2e3adc4255fd0dc6a99547b7ed32a65e0941a51dbdcb17756f15ab', device=device(type='cuda', index=0), num_class=8)"/>
    <x v="0"/>
    <s v="classification_UWaveGestureLibrary_PatchTST_UEA_ftM_sl315_ll48_pl0_dm128_nh8_el3_dl1_df256_expand2_dc4_fc1_ebtimeF_dtTrue_Exp_09900f9c6ea2e3adc4255fd0dc6a99547b7ed32a65e0941a51dbdcb17756f15ab"/>
    <s v="None"/>
    <n v="315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559ed717f3804b739d019523c0fd5ea0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2435606744453', 'TRAIN_END': '1779132459347036543', 'TEST_START': '1779132459347106501', 'TEST_END': '1779132460467944166'}"/>
    <n v="7"/>
    <s v="[128, 128]"/>
    <n v="0"/>
    <s v="UWaveGestureLibrary"/>
    <s v="moving_avg"/>
    <s v="9900f9c6ea2e3adc4255fd0dc6a99547b7ed32a65e0941a51dbdcb17756f15ab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UWaveGestureLibrary_PatchTST_UEA_ftM_sl315_ll48_pl0_dm128_nh8_el3_dl1_df256_expand2_dc4_fc1_ebtimeF_dtTrue_Exp_09900f9c6ea2e3adc4255fd0dc6a99547b7ed32a65e0941a51dbdcb17756f15ab"/>
    <s v="run.py"/>
    <s v="sunwu"/>
    <x v="9"/>
    <x v="20"/>
  </r>
  <r>
    <s v="d0964eb024ec41c388220082a5e85288"/>
    <n v="32"/>
    <s v="FINISHED"/>
    <s v="mlflow-artifacts:/32/d0964eb024ec41c388220082a5e85288/artifacts"/>
    <s v="2026-05-18 19:26:51.067000+00:00"/>
    <s v="2026-05-18 19:26:55.779000+00:00"/>
    <n v="1.77913240502547E+18"/>
    <n v="0.973430379579453"/>
    <n v="0.97280514474916502"/>
    <n v="0.75653219299999996"/>
    <n v="0.973430379579453"/>
    <n v="1.7791324050253901E+18"/>
    <n v="0.97271487039563398"/>
    <n v="1.7791324110321101E+18"/>
    <n v="1.7791323156692301E+18"/>
    <n v="63.658901018999998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pokenArabicDigits/ --model_id SpokenArabicDigits --model PatchTST --data UEA --e_layers 3 --batch_size 32 --d_model 128 --d_ff 256 --top_k 3 --des Exp --itr 1 --learning_rate 0.001 --train_epochs 1000 --patience 10 --seed 123 --id 8d1235ed87eb934c642475d545f94d72f507fd080f930f5da40031bbf6cfb88c"/>
    <n v="1"/>
    <b v="0"/>
    <b v="0"/>
    <s v="M"/>
    <n v="3"/>
    <b v="0"/>
    <n v="10"/>
    <n v="0"/>
    <n v="0"/>
    <b v="0"/>
    <n v="1E-3"/>
    <n v="256"/>
    <b v="1"/>
    <n v="1"/>
    <n v="3"/>
    <n v="0.1"/>
    <n v="0.1"/>
    <b v="0"/>
    <n v="32"/>
    <n v="123"/>
    <n v="1"/>
    <n v="16"/>
    <s v="./dataset/SpokenArabicDigits/"/>
    <s v="Monthly"/>
    <n v="10"/>
    <b v="0"/>
    <s v="classification"/>
    <s v="8d1235ed87eb934c642475d545f94d72f507fd080f930f5da40031bbf6cfb88c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pokenArabicDigits', model='PatchTST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8d1235ed87eb934c642475d545f94d72f507fd080f930f5da40031bbf6cfb88c', device=device(type='cuda', index=0), num_class=10)"/>
    <x v="0"/>
    <s v="classification_SpokenArabicDigits_PatchTST_UEA_ftM_sl93_ll48_pl0_dm128_nh8_el3_dl1_df256_expand2_dc4_fc1_ebtimeF_dtTrue_Exp_08d1235ed87eb934c642475d545f94d72f507fd080f930f5da40031bbf6cfb88c"/>
    <s v="None"/>
    <n v="93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9f56d9a7f6094a6f89af5dc832d22e1a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2315669238526', 'TRAIN_END': '1779132405025398126', 'TEST_START': '1779132405025478557', 'TEST_END': '1779132411032112223'}"/>
    <n v="7"/>
    <s v="[128, 128]"/>
    <n v="0"/>
    <s v="SpokenArabicDigits"/>
    <s v="moving_avg"/>
    <s v="8d1235ed87eb934c642475d545f94d72f507fd080f930f5da40031bbf6cfb88c"/>
    <n v="1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pokenArabicDigits_PatchTST_UEA_ftM_sl93_ll48_pl0_dm128_nh8_el3_dl1_df256_expand2_dc4_fc1_ebtimeF_dtTrue_Exp_08d1235ed87eb934c642475d545f94d72f507fd080f930f5da40031bbf6cfb88c"/>
    <s v="run.py"/>
    <s v="sunwu"/>
    <x v="1"/>
    <x v="21"/>
  </r>
  <r>
    <s v="1b72837d0474479c829280e8382c3b09"/>
    <n v="32"/>
    <s v="FINISHED"/>
    <s v="mlflow-artifacts:/32/1b72837d0474479c829280e8382c3b09/artifacts"/>
    <s v="2026-05-18 19:26:02.491000+00:00"/>
    <s v="2026-05-18 19:26:09.983000+00:00"/>
    <n v="1.77913228154543E+18"/>
    <n v="0.67230788563437704"/>
    <n v="0.67221870254424199"/>
    <n v="1.98589511"/>
    <n v="0.67230788563437704"/>
    <n v="1.7791322815453801E+18"/>
    <n v="0.672247446083995"/>
    <n v="1.77913236244817E+18"/>
    <n v="1.7791318109119501E+18"/>
    <n v="179.223131415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FaceDetection/ --model_id FaceDetection --model PatchTST --data UEA --e_layers 3 --batch_size 32 --d_model 128 --d_ff 256 --top_k 3 --des Exp --itr 1 --learning_rate 0.001 --train_epochs 1000 --patience 10 --seed 123 --id de14a6b7cdd9e1856297cc6ef8ca7666d21a12b7111a32fbfb4c1918bc50b40c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"/>
    <n v="1"/>
    <n v="16"/>
    <s v="./dataset/FaceDetection/"/>
    <s v="Monthly"/>
    <n v="10"/>
    <b v="0"/>
    <s v="classification"/>
    <s v="de14a6b7cdd9e1856297cc6ef8ca7666d21a12b7111a32fbfb4c1918bc50b40c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FaceDetection', model='PatchTST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de14a6b7cdd9e1856297cc6ef8ca7666d21a12b7111a32fbfb4c1918bc50b40c', device=device(type='cuda', index=0), num_class=2)"/>
    <x v="0"/>
    <s v="classification_FaceDetection_PatchTST_UEA_ftM_sl62_ll48_pl0_dm128_nh8_el3_dl1_df256_expand2_dc4_fc1_ebtimeF_dtTrue_Exp_0de14a6b7cdd9e1856297cc6ef8ca7666d21a12b7111a32fbfb4c1918bc50b40c"/>
    <s v="None"/>
    <n v="62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8865435fe47e428cbebaf9ec59feab31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1810911951790', 'TRAIN_END': '1779132281545387220', 'TEST_START': '1779132281545439525', 'TEST_END': '1779132362448178367'}"/>
    <n v="7"/>
    <s v="[128, 128]"/>
    <n v="0"/>
    <s v="FaceDetection"/>
    <s v="moving_avg"/>
    <s v="de14a6b7cdd9e1856297cc6ef8ca7666d21a12b7111a32fbfb4c1918bc50b40c"/>
    <n v="144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FaceDetection_PatchTST_UEA_ftM_sl62_ll48_pl0_dm128_nh8_el3_dl1_df256_expand2_dc4_fc1_ebtimeF_dtTrue_Exp_0de14a6b7cdd9e1856297cc6ef8ca7666d21a12b7111a32fbfb4c1918bc50b40c"/>
    <s v="run.py"/>
    <s v="sunwu"/>
    <x v="2"/>
    <x v="22"/>
  </r>
  <r>
    <s v="8291e36fef784a4795373595f5172de3"/>
    <n v="32"/>
    <s v="FINISHED"/>
    <s v="mlflow-artifacts:/32/8291e36fef784a4795373595f5172de3/artifacts"/>
    <s v="2026-05-18 19:24:33.372000+00:00"/>
    <s v="2026-05-18 19:24:36.387000+00:00"/>
    <n v="1.7791322718565601E+18"/>
    <n v="0.47092647628892598"/>
    <n v="0.46627547676269498"/>
    <n v="0.80049214800000001"/>
    <n v="0.47092647628892598"/>
    <n v="1.7791322718565E+18"/>
    <n v="0.47222222222222199"/>
    <n v="1.77913227334099E+18"/>
    <n v="1.7791322214346701E+18"/>
    <n v="48.208395363999998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2/ --model_id SelfRegulationSCP2 --model PatchTST --data UEA --e_layers 3 --batch_size 32 --d_model 128 --d_ff 256 --top_k 3 --des Exp --itr 1 --learning_rate 0.001 --train_epochs 1000 --patience 10 --seed 123 --id 9cb9a9da6cf660092590bfa9c54d357971880ed66607431ca7a81459119569fb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"/>
    <n v="1"/>
    <n v="16"/>
    <s v="./dataset/SelfRegulationSCP2/"/>
    <s v="Monthly"/>
    <n v="10"/>
    <b v="0"/>
    <s v="classification"/>
    <s v="9cb9a9da6cf660092590bfa9c54d357971880ed66607431ca7a81459119569fb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2', model='PatchTST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9cb9a9da6cf660092590bfa9c54d357971880ed66607431ca7a81459119569fb', device=device(type='cuda', index=0), num_class=2)"/>
    <x v="0"/>
    <s v="classification_SelfRegulationSCP2_PatchTST_UEA_ftM_sl1152_ll48_pl0_dm128_nh8_el3_dl1_df256_expand2_dc4_fc1_ebtimeF_dtTrue_Exp_09cb9a9da6cf660092590bfa9c54d357971880ed66607431ca7a81459119569fb"/>
    <s v="None"/>
    <n v="1152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c4d6738b13724379993c8b35a885b7a9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2221434678709', 'TRAIN_END': '1779132271856508727', 'TEST_START': '1779132271856569048', 'TEST_END': '1779132273340996804'}"/>
    <n v="7"/>
    <s v="[128, 128]"/>
    <n v="0"/>
    <s v="SelfRegulationSCP2"/>
    <s v="moving_avg"/>
    <s v="9cb9a9da6cf660092590bfa9c54d357971880ed66607431ca7a81459119569fb"/>
    <n v="7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2_PatchTST_UEA_ftM_sl1152_ll48_pl0_dm128_nh8_el3_dl1_df256_expand2_dc4_fc1_ebtimeF_dtTrue_Exp_09cb9a9da6cf660092590bfa9c54d357971880ed66607431ca7a81459119569fb"/>
    <s v="run.py"/>
    <s v="sunwu"/>
    <x v="3"/>
    <x v="23"/>
  </r>
  <r>
    <s v="f0bde3ac31e2440690415b51a14e8e87"/>
    <n v="32"/>
    <s v="FINISHED"/>
    <s v="mlflow-artifacts:/32/f0bde3ac31e2440690415b51a14e8e87/artifacts"/>
    <s v="2026-05-18 19:22:44.774000+00:00"/>
    <s v="2026-05-18 19:22:50.365000+00:00"/>
    <n v="1.77913216315474E+18"/>
    <n v="0.84017704274828597"/>
    <n v="0.83565667347983996"/>
    <n v="0.42935596399999998"/>
    <n v="0.84017704274828597"/>
    <n v="1.7791321631546701E+18"/>
    <n v="0.83617747440273005"/>
    <n v="1.7791321644470001E+18"/>
    <n v="1.7791321234659899E+18"/>
    <n v="37.049423757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1/ --model_id SelfRegulationSCP1 --model PatchTST --data UEA --e_layers 3 --batch_size 32 --d_model 128 --d_ff 256 --top_k 3 --des Exp --itr 1 --learning_rate 0.001 --train_epochs 1000 --patience 10 --seed 123 --id 1f69dafaf780097e42e5ce58e0f85b4cf707e2e83a3e465a0b2ecdce517d48ac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"/>
    <n v="1"/>
    <n v="16"/>
    <s v="./dataset/SelfRegulationSCP1/"/>
    <s v="Monthly"/>
    <n v="10"/>
    <b v="0"/>
    <s v="classification"/>
    <s v="1f69dafaf780097e42e5ce58e0f85b4cf707e2e83a3e465a0b2ecdce517d48ac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1', model='PatchTST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1f69dafaf780097e42e5ce58e0f85b4cf707e2e83a3e465a0b2ecdce517d48ac', device=device(type='cuda', index=0), num_class=2)"/>
    <x v="0"/>
    <s v="classification_SelfRegulationSCP1_PatchTST_UEA_ftM_sl896_ll48_pl0_dm128_nh8_el3_dl1_df256_expand2_dc4_fc1_ebtimeF_dtTrue_Exp_01f69dafaf780097e42e5ce58e0f85b4cf707e2e83a3e465a0b2ecdce517d48ac"/>
    <s v="None"/>
    <n v="896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a090716f704c4b639b36a663d92a2fca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2123465993753', 'TRAIN_END': '1779132163154673410', 'TEST_START': '1779132163154747320', 'TEST_END': '1779132164447002018'}"/>
    <n v="7"/>
    <s v="[128, 128]"/>
    <n v="0"/>
    <s v="SelfRegulationSCP1"/>
    <s v="moving_avg"/>
    <s v="1f69dafaf780097e42e5ce58e0f85b4cf707e2e83a3e465a0b2ecdce517d48ac"/>
    <n v="6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1_PatchTST_UEA_ftM_sl896_ll48_pl0_dm128_nh8_el3_dl1_df256_expand2_dc4_fc1_ebtimeF_dtTrue_Exp_01f69dafaf780097e42e5ce58e0f85b4cf707e2e83a3e465a0b2ecdce517d48ac"/>
    <s v="run.py"/>
    <s v="sunwu"/>
    <x v="4"/>
    <x v="24"/>
  </r>
  <r>
    <s v="a03a7c680d4c492484a342a5bdb16b39"/>
    <n v="32"/>
    <s v="FINISHED"/>
    <s v="mlflow-artifacts:/32/a03a7c680d4c492484a342a5bdb16b39/artifacts"/>
    <s v="2026-05-18 19:21:38.450000+00:00"/>
    <s v="2026-05-18 19:21:42.238000+00:00"/>
    <n v="1.7791320973295401E+18"/>
    <n v="0.95286129232680905"/>
    <n v="0.95160870970869005"/>
    <n v="0.39998119300000001"/>
    <n v="0.95286129232680905"/>
    <n v="1.77913209732945E+18"/>
    <n v="0.95135135135135096"/>
    <n v="1.7791320984012101E+18"/>
    <n v="1.7791320398781901E+18"/>
    <n v="55.12103152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JapaneseVowels/ --model_id JapaneseVowels --model PatchTST --data UEA --e_layers 3 --batch_size 32 --d_model 128 --d_ff 256 --top_k 3 --des Exp --itr 1 --learning_rate 0.001 --train_epochs 1000 --patience 10 --seed 123 --id d980270fa8b78dccd71b465582f82c0a5a60fdc009d51115d6a93c7737eb9979"/>
    <n v="1"/>
    <b v="0"/>
    <b v="0"/>
    <s v="M"/>
    <n v="3"/>
    <b v="0"/>
    <n v="9"/>
    <n v="0"/>
    <n v="0"/>
    <b v="0"/>
    <n v="1E-3"/>
    <n v="256"/>
    <b v="1"/>
    <n v="1"/>
    <n v="3"/>
    <n v="0.1"/>
    <n v="0.1"/>
    <b v="0"/>
    <n v="32"/>
    <n v="123"/>
    <n v="1"/>
    <n v="16"/>
    <s v="./dataset/JapaneseVowels/"/>
    <s v="Monthly"/>
    <n v="10"/>
    <b v="0"/>
    <s v="classification"/>
    <s v="d980270fa8b78dccd71b465582f82c0a5a60fdc009d51115d6a93c7737eb9979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JapaneseVowels', model='PatchTST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d980270fa8b78dccd71b465582f82c0a5a60fdc009d51115d6a93c7737eb9979', device=device(type='cuda', index=0), num_class=9)"/>
    <x v="0"/>
    <s v="classification_JapaneseVowels_PatchTST_UEA_ftM_sl29_ll48_pl0_dm128_nh8_el3_dl1_df256_expand2_dc4_fc1_ebtimeF_dtTrue_Exp_0d980270fa8b78dccd71b465582f82c0a5a60fdc009d51115d6a93c7737eb9979"/>
    <s v="None"/>
    <n v="29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da8fd1620c5a476ba98edb2e7dfb8c50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2039878195527', 'TRAIN_END': '1779132097329452005', 'TEST_START': '1779132097329549010', 'TEST_END': '1779132098401218718'}"/>
    <n v="7"/>
    <s v="[128, 128]"/>
    <n v="0"/>
    <s v="JapaneseVowels"/>
    <s v="moving_avg"/>
    <s v="d980270fa8b78dccd71b465582f82c0a5a60fdc009d51115d6a93c7737eb9979"/>
    <n v="12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JapaneseVowels_PatchTST_UEA_ftM_sl29_ll48_pl0_dm128_nh8_el3_dl1_df256_expand2_dc4_fc1_ebtimeF_dtTrue_Exp_0d980270fa8b78dccd71b465582f82c0a5a60fdc009d51115d6a93c7737eb9979"/>
    <s v="run.py"/>
    <s v="sunwu"/>
    <x v="5"/>
    <x v="25"/>
  </r>
  <r>
    <s v="33d2ae2cfa3a446e99846efebefe8896"/>
    <n v="32"/>
    <s v="FINISHED"/>
    <s v="mlflow-artifacts:/32/33d2ae2cfa3a446e99846efebefe8896/artifacts"/>
    <s v="2026-05-18 19:20:16.930000+00:00"/>
    <s v="2026-05-18 19:20:22.644000+00:00"/>
    <n v="1.7791320129048499E+18"/>
    <n v="0.63920893528528699"/>
    <n v="0.648833474396456"/>
    <n v="0.51788549500000003"/>
    <n v="0.63920893528528699"/>
    <n v="1.77913201290477E+18"/>
    <n v="0.66341463414634105"/>
    <n v="1.77913201687426E+18"/>
    <n v="1.7791319659483899E+18"/>
    <n v="36.85382826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eartbeat/ --model_id Heartbeat --model PatchTST --data UEA --e_layers 3 --batch_size 32 --d_model 128 --d_ff 256 --top_k 3 --des Exp --itr 1 --learning_rate 0.001 --train_epochs 1000 --patience 10 --seed 123 --id 2c557dca4100b9a1fe9cfc178d2069013d1d65f7bc9fd6a0329d0b5663da3bf1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"/>
    <n v="1"/>
    <n v="16"/>
    <s v="./dataset/Heartbeat/"/>
    <s v="Monthly"/>
    <n v="10"/>
    <b v="0"/>
    <s v="classification"/>
    <s v="2c557dca4100b9a1fe9cfc178d2069013d1d65f7bc9fd6a0329d0b5663da3bf1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eartbeat', model='PatchTST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2c557dca4100b9a1fe9cfc178d2069013d1d65f7bc9fd6a0329d0b5663da3bf1', device=device(type='cuda', index=0), num_class=2)"/>
    <x v="0"/>
    <s v="classification_Heartbeat_PatchTST_UEA_ftM_sl405_ll48_pl0_dm128_nh8_el3_dl1_df256_expand2_dc4_fc1_ebtimeF_dtTrue_Exp_02c557dca4100b9a1fe9cfc178d2069013d1d65f7bc9fd6a0329d0b5663da3bf1"/>
    <s v="None"/>
    <n v="405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e8ad8150923f45b6945dc8801ef21453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1965948391628', 'TRAIN_END': '1779132012904774363', 'TEST_START': '1779132012904856439', 'TEST_END': '1779132016874269732'}"/>
    <n v="7"/>
    <s v="[128, 128]"/>
    <n v="0"/>
    <s v="Heartbeat"/>
    <s v="moving_avg"/>
    <s v="2c557dca4100b9a1fe9cfc178d2069013d1d65f7bc9fd6a0329d0b5663da3bf1"/>
    <n v="61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eartbeat_PatchTST_UEA_ftM_sl405_ll48_pl0_dm128_nh8_el3_dl1_df256_expand2_dc4_fc1_ebtimeF_dtTrue_Exp_02c557dca4100b9a1fe9cfc178d2069013d1d65f7bc9fd6a0329d0b5663da3bf1"/>
    <s v="run.py"/>
    <s v="sunwu"/>
    <x v="6"/>
    <x v="26"/>
  </r>
  <r>
    <s v="505359a8618047ccb140c12e54bdbdc8"/>
    <n v="32"/>
    <s v="FINISHED"/>
    <s v="mlflow-artifacts:/32/505359a8618047ccb140c12e54bdbdc8/artifacts"/>
    <s v="2026-05-18 19:18:43.343000+00:00"/>
    <s v="2026-05-18 19:18:50.628000+00:00"/>
    <n v="1.7791319220014001E+18"/>
    <n v="0.29588363767257198"/>
    <n v="0.25984848881838202"/>
    <n v="0.51800908700000003"/>
    <n v="0.29588363767257198"/>
    <n v="1.77913192200131E+18"/>
    <n v="0.27529411764705802"/>
    <n v="1.77913192329488E+18"/>
    <n v="1.7791318341092201E+18"/>
    <n v="85.679450838999998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andwriting/ --model_id Handwriting --model PatchTST --data UEA --e_layers 3 --batch_size 32 --d_model 128 --d_ff 256 --top_k 3 --des Exp --itr 1 --learning_rate 0.001 --train_epochs 1000 --patience 10 --seed 123 --id 083e69435de6dc17cbb2c420173efaff73d9e746d490274dbeb064d5911f284c"/>
    <n v="1"/>
    <b v="0"/>
    <b v="0"/>
    <s v="M"/>
    <n v="3"/>
    <b v="0"/>
    <n v="26"/>
    <n v="0"/>
    <n v="0"/>
    <b v="0"/>
    <n v="1E-3"/>
    <n v="256"/>
    <b v="1"/>
    <n v="1"/>
    <n v="3"/>
    <n v="0.1"/>
    <n v="0.1"/>
    <b v="0"/>
    <n v="32"/>
    <n v="123"/>
    <n v="1"/>
    <n v="16"/>
    <s v="./dataset/Handwriting/"/>
    <s v="Monthly"/>
    <n v="10"/>
    <b v="0"/>
    <s v="classification"/>
    <s v="083e69435de6dc17cbb2c420173efaff73d9e746d490274dbeb064d5911f284c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andwriting', model='PatchTST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083e69435de6dc17cbb2c420173efaff73d9e746d490274dbeb064d5911f284c', device=device(type='cuda', index=0), num_class=26)"/>
    <x v="0"/>
    <s v="classification_Handwriting_PatchTST_UEA_ftM_sl152_ll48_pl0_dm128_nh8_el3_dl1_df256_expand2_dc4_fc1_ebtimeF_dtTrue_Exp_0083e69435de6dc17cbb2c420173efaff73d9e746d490274dbeb064d5911f284c"/>
    <s v="None"/>
    <n v="152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b1ef04d906c143c490d85eb0c4628058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1834109225179', 'TRAIN_END': '1779131922001317613', 'TEST_START': '1779131922001403348', 'TEST_END': '1779131923294886789'}"/>
    <n v="7"/>
    <s v="[128, 128]"/>
    <n v="0"/>
    <s v="Handwriting"/>
    <s v="moving_avg"/>
    <s v="083e69435de6dc17cbb2c420173efaff73d9e746d490274dbeb064d5911f284c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andwriting_PatchTST_UEA_ftM_sl152_ll48_pl0_dm128_nh8_el3_dl1_df256_expand2_dc4_fc1_ebtimeF_dtTrue_Exp_0083e69435de6dc17cbb2c420173efaff73d9e746d490274dbeb064d5911f284c"/>
    <s v="run.py"/>
    <s v="sunwu"/>
    <x v="7"/>
    <x v="27"/>
  </r>
  <r>
    <s v="53a681301aa54a7db06dd0e6dd537209"/>
    <n v="32"/>
    <s v="FINISHED"/>
    <s v="mlflow-artifacts:/32/53a681301aa54a7db06dd0e6dd537209/artifacts"/>
    <s v="2026-05-18 19:16:52.419000+00:00"/>
    <s v="2026-05-18 19:16:57.736000+00:00"/>
    <n v="1.7791317789147E+18"/>
    <n v="0.89238414351956796"/>
    <n v="0.84127512749942501"/>
    <n v="1.457775821"/>
    <n v="0.89238414351956796"/>
    <n v="1.77913177891454E+18"/>
    <n v="0.83815028901734101"/>
    <n v="1.7791318123661801E+18"/>
    <n v="1.7791314561719401E+18"/>
    <n v="210.5749709289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PEMS-SF/ --model_id PEMS-SF --model PatchTST --data UEA --e_layers 3 --batch_size 32 --d_model 128 --d_ff 256 --top_k 3 --des Exp --itr 1 --learning_rate 0.001 --train_epochs 1000 --patience 10 --seed 42 --id 21c711ed8cef64c28a1604121162901a1f8d3f5561f0d1c61fe061c2e39dfeaf"/>
    <n v="1"/>
    <b v="0"/>
    <b v="0"/>
    <s v="M"/>
    <n v="3"/>
    <b v="0"/>
    <n v="7"/>
    <n v="0"/>
    <n v="0"/>
    <b v="0"/>
    <n v="1E-3"/>
    <n v="256"/>
    <b v="1"/>
    <n v="1"/>
    <n v="3"/>
    <n v="0.1"/>
    <n v="0.1"/>
    <b v="0"/>
    <n v="32"/>
    <n v="42"/>
    <n v="1"/>
    <n v="16"/>
    <s v="./dataset/PEMS-SF/"/>
    <s v="Monthly"/>
    <n v="10"/>
    <b v="0"/>
    <s v="classification"/>
    <s v="21c711ed8cef64c28a1604121162901a1f8d3f5561f0d1c61fe061c2e39dfeaf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PEMS-SF', model='PatchTST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21c711ed8cef64c28a1604121162901a1f8d3f5561f0d1c61fe061c2e39dfeaf', device=device(type='cuda', index=0), num_class=7)"/>
    <x v="0"/>
    <s v="classification_PEMS-SF_PatchTST_UEA_ftM_sl144_ll48_pl0_dm128_nh8_el3_dl1_df256_expand2_dc4_fc1_ebtimeF_dtTrue_Exp_021c711ed8cef64c28a1604121162901a1f8d3f5561f0d1c61fe061c2e39dfeaf"/>
    <s v="None"/>
    <n v="144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c219ad1556241928b615df48e12154f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1456171946216', 'TRAIN_END': '1779131778914543495', 'TEST_START': '1779131778914702447', 'TEST_END': '1779131812366184869'}"/>
    <n v="7"/>
    <s v="[128, 128]"/>
    <n v="0"/>
    <s v="PEMS-SF"/>
    <s v="moving_avg"/>
    <s v="21c711ed8cef64c28a1604121162901a1f8d3f5561f0d1c61fe061c2e39dfeaf"/>
    <n v="96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PEMS-SF_PatchTST_UEA_ftM_sl144_ll48_pl0_dm128_nh8_el3_dl1_df256_expand2_dc4_fc1_ebtimeF_dtTrue_Exp_021c711ed8cef64c28a1604121162901a1f8d3f5561f0d1c61fe061c2e39dfeaf"/>
    <s v="run.py"/>
    <s v="sunwu"/>
    <x v="0"/>
    <x v="28"/>
  </r>
  <r>
    <s v="626a726d7f4940118fe1a4966375c060"/>
    <n v="32"/>
    <s v="FINISHED"/>
    <s v="mlflow-artifacts:/32/626a726d7f4940118fe1a4966375c060/artifacts"/>
    <s v="2026-05-18 19:10:53.472000+00:00"/>
    <s v="2026-05-18 19:10:59.628000+00:00"/>
    <n v="1.77913145135088E+18"/>
    <n v="0.43853861678214801"/>
    <n v="0.22026054353531699"/>
    <n v="1.3893320709999999"/>
    <n v="0.43853861678214801"/>
    <n v="1.7791314513508301E+18"/>
    <n v="0.25855513307984701"/>
    <n v="1.77913145344045E+18"/>
    <n v="1.7791313761515799E+18"/>
    <n v="72.913077850999997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EthanolConcentration/ --model_id EthanolConcentration --model PatchTST --data UEA --e_layers 3 --batch_size 32 --d_model 128 --d_ff 256 --top_k 3 --des Exp --itr 1 --learning_rate 0.001 --train_epochs 1000 --patience 10 --seed 123 --id a1efcc385fb64de0f11763c6169a26aacd16d9e4e60c407ed5075f7340a3b45a"/>
    <n v="1"/>
    <b v="0"/>
    <b v="0"/>
    <s v="M"/>
    <n v="3"/>
    <b v="0"/>
    <n v="4"/>
    <n v="0"/>
    <n v="0"/>
    <b v="0"/>
    <n v="1E-3"/>
    <n v="256"/>
    <b v="1"/>
    <n v="1"/>
    <n v="3"/>
    <n v="0.1"/>
    <n v="0.1"/>
    <b v="0"/>
    <n v="32"/>
    <n v="123"/>
    <n v="1"/>
    <n v="16"/>
    <s v="./dataset/EthanolConcentration/"/>
    <s v="Monthly"/>
    <n v="10"/>
    <b v="0"/>
    <s v="classification"/>
    <s v="a1efcc385fb64de0f11763c6169a26aacd16d9e4e60c407ed5075f7340a3b45a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EthanolConcentration', model='PatchTST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a1efcc385fb64de0f11763c6169a26aacd16d9e4e60c407ed5075f7340a3b45a', device=device(type='cuda', index=0), num_class=4)"/>
    <x v="0"/>
    <s v="classification_EthanolConcentration_PatchTST_UEA_ftM_sl1751_ll48_pl0_dm128_nh8_el3_dl1_df256_expand2_dc4_fc1_ebtimeF_dtTrue_Exp_0a1efcc385fb64de0f11763c6169a26aacd16d9e4e60c407ed5075f7340a3b45a"/>
    <s v="None"/>
    <n v="1751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f1ab411e276e41e79adf04a8d3dc8044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1376151583254', 'TRAIN_END': '1779131451350836004', 'TEST_START': '1779131451350885242', 'TEST_END': '1779131453440459706'}"/>
    <n v="7"/>
    <s v="[128, 128]"/>
    <n v="0"/>
    <s v="EthanolConcentration"/>
    <s v="moving_avg"/>
    <s v="a1efcc385fb64de0f11763c6169a26aacd16d9e4e60c407ed5075f7340a3b45a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EthanolConcentration_PatchTST_UEA_ftM_sl1751_ll48_pl0_dm128_nh8_el3_dl1_df256_expand2_dc4_fc1_ebtimeF_dtTrue_Exp_0a1efcc385fb64de0f11763c6169a26aacd16d9e4e60c407ed5075f7340a3b45a"/>
    <s v="run.py"/>
    <s v="sunwu"/>
    <x v="8"/>
    <x v="29"/>
  </r>
  <r>
    <s v="eb94a27fa32c4a3da91d5af90dfc3b42"/>
    <n v="32"/>
    <s v="FINISHED"/>
    <s v="mlflow-artifacts:/32/eb94a27fa32c4a3da91d5af90dfc3b42/artifacts"/>
    <s v="2026-05-18 19:09:11.214000+00:00"/>
    <s v="2026-05-18 19:09:16.972000+00:00"/>
    <n v="1.7791313501569999E+18"/>
    <n v="0.84710821683975301"/>
    <n v="0.84209451840098504"/>
    <n v="0.40367264800000002"/>
    <n v="0.84710821683975301"/>
    <n v="1.77913135015693E+18"/>
    <n v="0.84375"/>
    <n v="1.77913135116271E+18"/>
    <n v="1.7791313214813199E+18"/>
    <n v="27.8122173970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UWaveGestureLibrary/ --model_id UWaveGestureLibrary --model PatchTST --data UEA --e_layers 3 --batch_size 32 --d_model 128 --d_ff 256 --top_k 3 --des Exp --itr 1 --learning_rate 0.001 --train_epochs 1000 --patience 10 --seed 123 --id 72a2a60ab7308e24f60df87add6bb93c231892ffe227b284a0f2e79ff4b586e7"/>
    <n v="1"/>
    <b v="0"/>
    <b v="0"/>
    <s v="M"/>
    <n v="3"/>
    <b v="0"/>
    <n v="8"/>
    <n v="0"/>
    <n v="0"/>
    <b v="0"/>
    <n v="1E-3"/>
    <n v="256"/>
    <b v="1"/>
    <n v="1"/>
    <n v="3"/>
    <n v="0.1"/>
    <n v="0.1"/>
    <b v="0"/>
    <n v="32"/>
    <n v="123"/>
    <n v="1"/>
    <n v="16"/>
    <s v="./dataset/UWaveGestureLibrary/"/>
    <s v="Monthly"/>
    <n v="10"/>
    <b v="0"/>
    <s v="classification"/>
    <s v="72a2a60ab7308e24f60df87add6bb93c231892ffe227b284a0f2e79ff4b586e7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UWaveGestureLibrary', model='PatchTST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72a2a60ab7308e24f60df87add6bb93c231892ffe227b284a0f2e79ff4b586e7', device=device(type='cuda', index=0), num_class=8)"/>
    <x v="0"/>
    <s v="classification_UWaveGestureLibrary_PatchTST_UEA_ftM_sl315_ll48_pl0_dm128_nh8_el3_dl1_df256_expand2_dc4_fc1_ebtimeF_dtTrue_Exp_072a2a60ab7308e24f60df87add6bb93c231892ffe227b284a0f2e79ff4b586e7"/>
    <s v="None"/>
    <n v="315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d4ecacdc51854264ae1a7c06586dacb6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1321481324872', 'TRAIN_END': '1779131350156939782', 'TEST_START': '1779131350157003850', 'TEST_END': '1779131351162713383'}"/>
    <n v="7"/>
    <s v="[128, 128]"/>
    <n v="0"/>
    <s v="UWaveGestureLibrary"/>
    <s v="moving_avg"/>
    <s v="72a2a60ab7308e24f60df87add6bb93c231892ffe227b284a0f2e79ff4b586e7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UWaveGestureLibrary_PatchTST_UEA_ftM_sl315_ll48_pl0_dm128_nh8_el3_dl1_df256_expand2_dc4_fc1_ebtimeF_dtTrue_Exp_072a2a60ab7308e24f60df87add6bb93c231892ffe227b284a0f2e79ff4b586e7"/>
    <s v="run.py"/>
    <s v="sunwu"/>
    <x v="9"/>
    <x v="30"/>
  </r>
  <r>
    <s v="3400bcbf5ae34f3da08b47ced50ef36d"/>
    <n v="32"/>
    <s v="FINISHED"/>
    <s v="mlflow-artifacts:/32/3400bcbf5ae34f3da08b47ced50ef36d/artifacts"/>
    <s v="2026-05-18 19:08:16.326000+00:00"/>
    <s v="2026-05-18 19:08:22.571000+00:00"/>
    <n v="1.77913121537086E+18"/>
    <n v="0.67719968012779297"/>
    <n v="0.67577215987046602"/>
    <n v="1.6538636840000001"/>
    <n v="0.67719968012779297"/>
    <n v="1.77913121536915E+18"/>
    <n v="0.67622020431328"/>
    <n v="1.7791312962726001E+18"/>
    <n v="1.7791307414410399E+18"/>
    <n v="154.586459985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FaceDetection/ --model_id FaceDetection --model PatchTST --data UEA --e_layers 3 --batch_size 32 --d_model 128 --d_ff 256 --top_k 3 --des Exp --itr 1 --learning_rate 0.001 --train_epochs 1000 --patience 10 --seed 42 --id 7b56f11553077a1ba1c5c248070dd67f2cc18546f9e40d41c0b030bc01d87728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42"/>
    <n v="1"/>
    <n v="16"/>
    <s v="./dataset/FaceDetection/"/>
    <s v="Monthly"/>
    <n v="10"/>
    <b v="0"/>
    <s v="classification"/>
    <s v="7b56f11553077a1ba1c5c248070dd67f2cc18546f9e40d41c0b030bc01d87728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FaceDetection', model='PatchTST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7b56f11553077a1ba1c5c248070dd67f2cc18546f9e40d41c0b030bc01d87728', device=device(type='cuda', index=0), num_class=2)"/>
    <x v="0"/>
    <s v="classification_FaceDetection_PatchTST_UEA_ftM_sl62_ll48_pl0_dm128_nh8_el3_dl1_df256_expand2_dc4_fc1_ebtimeF_dtTrue_Exp_07b56f11553077a1ba1c5c248070dd67f2cc18546f9e40d41c0b030bc01d87728"/>
    <s v="None"/>
    <n v="62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1ec7b13cc5484f9d9ff059edd7a409b3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0741441041938', 'TRAIN_END': '1779131215369152678', 'TEST_START': '1779131215370860524', 'TEST_END': '1779131296272607102'}"/>
    <n v="7"/>
    <s v="[128, 128]"/>
    <n v="0"/>
    <s v="FaceDetection"/>
    <s v="moving_avg"/>
    <s v="7b56f11553077a1ba1c5c248070dd67f2cc18546f9e40d41c0b030bc01d87728"/>
    <n v="144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FaceDetection_PatchTST_UEA_ftM_sl62_ll48_pl0_dm128_nh8_el3_dl1_df256_expand2_dc4_fc1_ebtimeF_dtTrue_Exp_07b56f11553077a1ba1c5c248070dd67f2cc18546f9e40d41c0b030bc01d87728"/>
    <s v="run.py"/>
    <s v="sunwu"/>
    <x v="2"/>
    <x v="31"/>
  </r>
  <r>
    <s v="6a916d3f10864c58b6f3c266cd32e59a"/>
    <n v="32"/>
    <s v="FINISHED"/>
    <s v="mlflow-artifacts:/32/6a916d3f10864c58b6f3c266cd32e59a/artifacts"/>
    <s v="2026-05-18 19:06:54.623000+00:00"/>
    <s v="2026-05-18 19:07:01.379000+00:00"/>
    <n v="1.7791312082456399E+18"/>
    <n v="0.96995201519464402"/>
    <n v="0.96955369835625105"/>
    <n v="0.90943252399999996"/>
    <n v="0.96995201519464402"/>
    <n v="1.77913120824365E+18"/>
    <n v="0.96953160527512505"/>
    <n v="1.77913121456785E+18"/>
    <n v="1.7791311053972201E+18"/>
    <n v="76.508789245000003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pokenArabicDigits/ --model_id SpokenArabicDigits --model PatchTST --data UEA --e_layers 3 --batch_size 32 --d_model 128 --d_ff 256 --top_k 3 --des Exp --itr 1 --learning_rate 0.001 --train_epochs 1000 --patience 10 --seed 42 --id 85fdd38def99beb8b8f0c911e416492917f348930917594bfaa985bd147e8c06"/>
    <n v="1"/>
    <b v="0"/>
    <b v="0"/>
    <s v="M"/>
    <n v="3"/>
    <b v="0"/>
    <n v="10"/>
    <n v="0"/>
    <n v="0"/>
    <b v="0"/>
    <n v="1E-3"/>
    <n v="256"/>
    <b v="1"/>
    <n v="1"/>
    <n v="3"/>
    <n v="0.1"/>
    <n v="0.1"/>
    <b v="0"/>
    <n v="32"/>
    <n v="42"/>
    <n v="1"/>
    <n v="16"/>
    <s v="./dataset/SpokenArabicDigits/"/>
    <s v="Monthly"/>
    <n v="10"/>
    <b v="0"/>
    <s v="classification"/>
    <s v="85fdd38def99beb8b8f0c911e416492917f348930917594bfaa985bd147e8c06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pokenArabicDigits', model='PatchTST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85fdd38def99beb8b8f0c911e416492917f348930917594bfaa985bd147e8c06', device=device(type='cuda', index=0), num_class=10)"/>
    <x v="0"/>
    <s v="classification_SpokenArabicDigits_PatchTST_UEA_ftM_sl93_ll48_pl0_dm128_nh8_el3_dl1_df256_expand2_dc4_fc1_ebtimeF_dtTrue_Exp_085fdd38def99beb8b8f0c911e416492917f348930917594bfaa985bd147e8c06"/>
    <s v="None"/>
    <n v="93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c8208c5a948e4c52958ee92697777f4a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1105397226344', 'TRAIN_END': '1779131208243655540', 'TEST_START': '1779131208245646212', 'TEST_END': '1779131214567852942'}"/>
    <n v="7"/>
    <s v="[128, 128]"/>
    <n v="0"/>
    <s v="SpokenArabicDigits"/>
    <s v="moving_avg"/>
    <s v="85fdd38def99beb8b8f0c911e416492917f348930917594bfaa985bd147e8c06"/>
    <n v="1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pokenArabicDigits_PatchTST_UEA_ftM_sl93_ll48_pl0_dm128_nh8_el3_dl1_df256_expand2_dc4_fc1_ebtimeF_dtTrue_Exp_085fdd38def99beb8b8f0c911e416492917f348930917594bfaa985bd147e8c06"/>
    <s v="run.py"/>
    <s v="sunwu"/>
    <x v="1"/>
    <x v="32"/>
  </r>
  <r>
    <s v="8bffabd5675e4c199707bda8b8a09384"/>
    <n v="32"/>
    <s v="FINISHED"/>
    <s v="mlflow-artifacts:/32/8bffabd5675e4c199707bda8b8a09384/artifacts"/>
    <s v="2026-05-18 19:02:03.216000+00:00"/>
    <s v="2026-05-18 19:02:08.704000+00:00"/>
    <n v="1.77913092165727E+18"/>
    <n v="0.51113310242454202"/>
    <n v="0.51086956521739102"/>
    <n v="0.82035997000000005"/>
    <n v="0.51113310242454202"/>
    <n v="1.7791309216571899E+18"/>
    <n v="0.51111111111111096"/>
    <n v="1.7791309231658299E+18"/>
    <n v="1.7791308665826199E+18"/>
    <n v="52.786768747000004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2/ --model_id SelfRegulationSCP2 --model PatchTST --data UEA --e_layers 3 --batch_size 32 --d_model 128 --d_ff 256 --top_k 3 --des Exp --itr 1 --learning_rate 0.001 --train_epochs 1000 --patience 10 --seed 42 --id f428ac20284fbccc4395839cb0eb05e4030974ba59cb5470016dbc997f55b9b0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42"/>
    <n v="1"/>
    <n v="16"/>
    <s v="./dataset/SelfRegulationSCP2/"/>
    <s v="Monthly"/>
    <n v="10"/>
    <b v="0"/>
    <s v="classification"/>
    <s v="f428ac20284fbccc4395839cb0eb05e4030974ba59cb5470016dbc997f55b9b0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2', model='PatchTST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f428ac20284fbccc4395839cb0eb05e4030974ba59cb5470016dbc997f55b9b0', device=device(type='cuda', index=0), num_class=2)"/>
    <x v="0"/>
    <s v="classification_SelfRegulationSCP2_PatchTST_UEA_ftM_sl1152_ll48_pl0_dm128_nh8_el3_dl1_df256_expand2_dc4_fc1_ebtimeF_dtTrue_Exp_0f428ac20284fbccc4395839cb0eb05e4030974ba59cb5470016dbc997f55b9b0"/>
    <s v="None"/>
    <n v="1152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fc7945222acd4eae8e9106ca90e2ce65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0866582621779', 'TRAIN_END': '1779130921657195785', 'TEST_START': '1779130921657270250', 'TEST_END': '1779130923165834063'}"/>
    <n v="7"/>
    <s v="[128, 128]"/>
    <n v="0"/>
    <s v="SelfRegulationSCP2"/>
    <s v="moving_avg"/>
    <s v="f428ac20284fbccc4395839cb0eb05e4030974ba59cb5470016dbc997f55b9b0"/>
    <n v="7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2_PatchTST_UEA_ftM_sl1152_ll48_pl0_dm128_nh8_el3_dl1_df256_expand2_dc4_fc1_ebtimeF_dtTrue_Exp_0f428ac20284fbccc4395839cb0eb05e4030974ba59cb5470016dbc997f55b9b0"/>
    <s v="run.py"/>
    <s v="sunwu"/>
    <x v="3"/>
    <x v="33"/>
  </r>
  <r>
    <s v="88015c7392ed4dd7a02757fabd0421cd"/>
    <n v="32"/>
    <s v="FINISHED"/>
    <s v="mlflow-artifacts:/32/88015c7392ed4dd7a02757fabd0421cd/artifacts"/>
    <s v="2026-05-18 19:00:36.071000+00:00"/>
    <s v="2026-05-18 19:00:42.752000+00:00"/>
    <n v="1.7791308347415401E+18"/>
    <n v="0.86756578650776595"/>
    <n v="0.85173931100278299"/>
    <n v="0.47478402200000003"/>
    <n v="0.86756578650776595"/>
    <n v="1.77913083474146E+18"/>
    <n v="0.853242320819112"/>
    <n v="1.7791308360313001E+18"/>
    <n v="1.7791308162537101E+18"/>
    <n v="15.9385758640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1/ --model_id SelfRegulationSCP1 --model PatchTST --data UEA --e_layers 3 --batch_size 32 --d_model 128 --d_ff 256 --top_k 3 --des Exp --itr 1 --learning_rate 0.001 --train_epochs 1000 --patience 10 --seed 42 --id 50715d225a5737c8d88157738e90c5cb811647a6e081921144e976ecbe9a4409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42"/>
    <n v="1"/>
    <n v="16"/>
    <s v="./dataset/SelfRegulationSCP1/"/>
    <s v="Monthly"/>
    <n v="10"/>
    <b v="0"/>
    <s v="classification"/>
    <s v="50715d225a5737c8d88157738e90c5cb811647a6e081921144e976ecbe9a4409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1', model='PatchTST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50715d225a5737c8d88157738e90c5cb811647a6e081921144e976ecbe9a4409', device=device(type='cuda', index=0), num_class=2)"/>
    <x v="0"/>
    <s v="classification_SelfRegulationSCP1_PatchTST_UEA_ftM_sl896_ll48_pl0_dm128_nh8_el3_dl1_df256_expand2_dc4_fc1_ebtimeF_dtTrue_Exp_050715d225a5737c8d88157738e90c5cb811647a6e081921144e976ecbe9a4409"/>
    <s v="None"/>
    <n v="896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d8c1d6c38214df5bb9b7f2726720279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0816253713439', 'TRAIN_END': '1779130834741464001', 'TEST_START': '1779130834741540556', 'TEST_END': '1779130836031304944'}"/>
    <n v="7"/>
    <s v="[128, 128]"/>
    <n v="0"/>
    <s v="SelfRegulationSCP1"/>
    <s v="moving_avg"/>
    <s v="50715d225a5737c8d88157738e90c5cb811647a6e081921144e976ecbe9a4409"/>
    <n v="6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1_PatchTST_UEA_ftM_sl896_ll48_pl0_dm128_nh8_el3_dl1_df256_expand2_dc4_fc1_ebtimeF_dtTrue_Exp_050715d225a5737c8d88157738e90c5cb811647a6e081921144e976ecbe9a4409"/>
    <s v="run.py"/>
    <s v="sunwu"/>
    <x v="4"/>
    <x v="34"/>
  </r>
  <r>
    <s v="0fc9f50557e245438b02c5ff6b5d3c75"/>
    <n v="32"/>
    <s v="FINISHED"/>
    <s v="mlflow-artifacts:/32/0fc9f50557e245438b02c5ff6b5d3c75/artifacts"/>
    <s v="2026-05-18 18:59:47.330000+00:00"/>
    <s v="2026-05-18 18:59:55.008000+00:00"/>
    <n v="1.7791307862088901E+18"/>
    <n v="0.95067451663382296"/>
    <n v="0.94905868765504198"/>
    <n v="0.40667091100000002"/>
    <n v="0.95067451663382296"/>
    <n v="1.77913078620882E+18"/>
    <n v="0.94864864864864795"/>
    <n v="1.7791307872892201E+18"/>
    <n v="1.77913075699203E+18"/>
    <n v="26.95367327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JapaneseVowels/ --model_id JapaneseVowels --model PatchTST --data UEA --e_layers 3 --batch_size 32 --d_model 128 --d_ff 256 --top_k 3 --des Exp --itr 1 --learning_rate 0.001 --train_epochs 1000 --patience 10 --seed 42 --id 63e3c7839e2324240add606b94201812ec04bedb196500ec697cbe03c5a9e23c"/>
    <n v="1"/>
    <b v="0"/>
    <b v="0"/>
    <s v="M"/>
    <n v="3"/>
    <b v="0"/>
    <n v="9"/>
    <n v="0"/>
    <n v="0"/>
    <b v="0"/>
    <n v="1E-3"/>
    <n v="256"/>
    <b v="1"/>
    <n v="1"/>
    <n v="3"/>
    <n v="0.1"/>
    <n v="0.1"/>
    <b v="0"/>
    <n v="32"/>
    <n v="42"/>
    <n v="1"/>
    <n v="16"/>
    <s v="./dataset/JapaneseVowels/"/>
    <s v="Monthly"/>
    <n v="10"/>
    <b v="0"/>
    <s v="classification"/>
    <s v="63e3c7839e2324240add606b94201812ec04bedb196500ec697cbe03c5a9e23c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JapaneseVowels', model='PatchTST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63e3c7839e2324240add606b94201812ec04bedb196500ec697cbe03c5a9e23c', device=device(type='cuda', index=0), num_class=9)"/>
    <x v="0"/>
    <s v="classification_JapaneseVowels_PatchTST_UEA_ftM_sl29_ll48_pl0_dm128_nh8_el3_dl1_df256_expand2_dc4_fc1_ebtimeF_dtTrue_Exp_063e3c7839e2324240add606b94201812ec04bedb196500ec697cbe03c5a9e23c"/>
    <s v="None"/>
    <n v="29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467ac562a854f988d6f702da8836ff8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0756992037135', 'TRAIN_END': '1779130786208825007', 'TEST_START': '1779130786208898077', 'TEST_END': '1779130787289227655'}"/>
    <n v="7"/>
    <s v="[128, 128]"/>
    <n v="0"/>
    <s v="JapaneseVowels"/>
    <s v="moving_avg"/>
    <s v="63e3c7839e2324240add606b94201812ec04bedb196500ec697cbe03c5a9e23c"/>
    <n v="12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JapaneseVowels_PatchTST_UEA_ftM_sl29_ll48_pl0_dm128_nh8_el3_dl1_df256_expand2_dc4_fc1_ebtimeF_dtTrue_Exp_063e3c7839e2324240add606b94201812ec04bedb196500ec697cbe03c5a9e23c"/>
    <s v="run.py"/>
    <s v="sunwu"/>
    <x v="5"/>
    <x v="35"/>
  </r>
  <r>
    <s v="a77c45fd7a304400b06efd6c62369845"/>
    <n v="32"/>
    <s v="FINISHED"/>
    <s v="mlflow-artifacts:/32/a77c45fd7a304400b06efd6c62369845/artifacts"/>
    <s v="2026-05-18 18:58:52.230000+00:00"/>
    <s v="2026-05-18 18:58:58.811000+00:00"/>
    <n v="1.77913072826813E+18"/>
    <n v="0.66766350784526896"/>
    <n v="0.67401610784257704"/>
    <n v="0.49738911400000002"/>
    <n v="0.66766350784526896"/>
    <n v="1.7791307282680699E+18"/>
    <n v="0.68292682926829196"/>
    <n v="1.7791307321855099E+18"/>
    <n v="1.7791306775597801E+18"/>
    <n v="40.402120744999998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eartbeat/ --model_id Heartbeat --model PatchTST --data UEA --e_layers 3 --batch_size 32 --d_model 128 --d_ff 256 --top_k 3 --des Exp --itr 1 --learning_rate 0.001 --train_epochs 1000 --patience 10 --seed 42 --id c77ec1649ecde0ee9656e63c8fd09bf80382e40445c0db3a26021958ffb34a3b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42"/>
    <n v="1"/>
    <n v="16"/>
    <s v="./dataset/Heartbeat/"/>
    <s v="Monthly"/>
    <n v="10"/>
    <b v="0"/>
    <s v="classification"/>
    <s v="c77ec1649ecde0ee9656e63c8fd09bf80382e40445c0db3a26021958ffb34a3b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eartbeat', model='PatchTST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c77ec1649ecde0ee9656e63c8fd09bf80382e40445c0db3a26021958ffb34a3b', device=device(type='cuda', index=0), num_class=2)"/>
    <x v="0"/>
    <s v="classification_Heartbeat_PatchTST_UEA_ftM_sl405_ll48_pl0_dm128_nh8_el3_dl1_df256_expand2_dc4_fc1_ebtimeF_dtTrue_Exp_0c77ec1649ecde0ee9656e63c8fd09bf80382e40445c0db3a26021958ffb34a3b"/>
    <s v="None"/>
    <n v="405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0077ec7f7b3448ab876910c1f505f659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0677559780761', 'TRAIN_END': '1779130728268072436', 'TEST_START': '1779130728268131729', 'TEST_END': '1779130732185512847'}"/>
    <n v="7"/>
    <s v="[128, 128]"/>
    <n v="0"/>
    <s v="Heartbeat"/>
    <s v="moving_avg"/>
    <s v="c77ec1649ecde0ee9656e63c8fd09bf80382e40445c0db3a26021958ffb34a3b"/>
    <n v="61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eartbeat_PatchTST_UEA_ftM_sl405_ll48_pl0_dm128_nh8_el3_dl1_df256_expand2_dc4_fc1_ebtimeF_dtTrue_Exp_0c77ec1649ecde0ee9656e63c8fd09bf80382e40445c0db3a26021958ffb34a3b"/>
    <s v="run.py"/>
    <s v="sunwu"/>
    <x v="6"/>
    <x v="36"/>
  </r>
  <r>
    <s v="85393cd79ca74949922717829ccce708"/>
    <n v="32"/>
    <s v="FINISHED"/>
    <s v="mlflow-artifacts:/32/85393cd79ca74949922717829ccce708/artifacts"/>
    <s v="2026-05-18 18:57:16.211000+00:00"/>
    <s v="2026-05-18 18:57:22.129000+00:00"/>
    <n v="1.77913063472611E+18"/>
    <n v="0.29925160695424302"/>
    <n v="0.26095237484827399"/>
    <n v="0.64684713999999999"/>
    <n v="0.29925160695424302"/>
    <n v="1.77913063472594E+18"/>
    <n v="0.27411764705882302"/>
    <n v="1.7791306361534799E+18"/>
    <n v="1.7791304997517499E+18"/>
    <n v="132.8109984239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andwriting/ --model_id Handwriting --model PatchTST --data UEA --e_layers 3 --batch_size 32 --d_model 128 --d_ff 256 --top_k 3 --des Exp --itr 1 --learning_rate 0.001 --train_epochs 1000 --patience 10 --seed 42 --id 861a6c8194d67cb5e08264eaf42a3cdf62a4ae92f5a1a20a0fe05d7021177bde"/>
    <n v="1"/>
    <b v="0"/>
    <b v="0"/>
    <s v="M"/>
    <n v="3"/>
    <b v="0"/>
    <n v="26"/>
    <n v="0"/>
    <n v="0"/>
    <b v="0"/>
    <n v="1E-3"/>
    <n v="256"/>
    <b v="1"/>
    <n v="1"/>
    <n v="3"/>
    <n v="0.1"/>
    <n v="0.1"/>
    <b v="0"/>
    <n v="32"/>
    <n v="42"/>
    <n v="1"/>
    <n v="16"/>
    <s v="./dataset/Handwriting/"/>
    <s v="Monthly"/>
    <n v="10"/>
    <b v="0"/>
    <s v="classification"/>
    <s v="861a6c8194d67cb5e08264eaf42a3cdf62a4ae92f5a1a20a0fe05d7021177bde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andwriting', model='PatchTST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861a6c8194d67cb5e08264eaf42a3cdf62a4ae92f5a1a20a0fe05d7021177bde', device=device(type='cuda', index=0), num_class=26)"/>
    <x v="0"/>
    <s v="classification_Handwriting_PatchTST_UEA_ftM_sl152_ll48_pl0_dm128_nh8_el3_dl1_df256_expand2_dc4_fc1_ebtimeF_dtTrue_Exp_0861a6c8194d67cb5e08264eaf42a3cdf62a4ae92f5a1a20a0fe05d7021177bde"/>
    <s v="None"/>
    <n v="152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f6a50415db94a949d8b9e0e23e5e402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0499751754242', 'TRAIN_END': '1779130634725941755', 'TEST_START': '1779130634726115353', 'TEST_END': '1779130636153482127'}"/>
    <n v="7"/>
    <s v="[128, 128]"/>
    <n v="0"/>
    <s v="Handwriting"/>
    <s v="moving_avg"/>
    <s v="861a6c8194d67cb5e08264eaf42a3cdf62a4ae92f5a1a20a0fe05d7021177bde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andwriting_PatchTST_UEA_ftM_sl152_ll48_pl0_dm128_nh8_el3_dl1_df256_expand2_dc4_fc1_ebtimeF_dtTrue_Exp_0861a6c8194d67cb5e08264eaf42a3cdf62a4ae92f5a1a20a0fe05d7021177bde"/>
    <s v="run.py"/>
    <s v="sunwu"/>
    <x v="7"/>
    <x v="37"/>
  </r>
  <r>
    <s v="d73dc167dda6473a804d30952a3538b7"/>
    <n v="32"/>
    <s v="FINISHED"/>
    <s v="mlflow-artifacts:/32/d73dc167dda6473a804d30952a3538b7/artifacts"/>
    <s v="2026-05-18 18:54:34.122000+00:00"/>
    <s v="2026-05-18 18:54:40.431000+00:00"/>
    <n v="1.77913044075487E+18"/>
    <n v="0.86125925165952"/>
    <n v="0.84777456314167299"/>
    <n v="1.454428324"/>
    <n v="0.86125925165952"/>
    <n v="1.7791304407548001E+18"/>
    <n v="0.84393063583814998"/>
    <n v="1.77913047408241E+18"/>
    <n v="1.7791300681208399E+18"/>
    <n v="258.58732966999997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PEMS-SF/ --model_id PEMS-SF --model PatchTST --data UEA --e_layers 3 --batch_size 32 --d_model 128 --d_ff 256 --top_k 3 --des Exp --itr 1 --learning_rate 0.001 --train_epochs 1000 --patience 10 --seed 7 --id d6c0d9d9d3d74843b2c1aef5aea95dbe7c38ffb66fa6e22edf233569b57d21ce"/>
    <n v="1"/>
    <b v="0"/>
    <b v="0"/>
    <s v="M"/>
    <n v="3"/>
    <b v="0"/>
    <n v="7"/>
    <n v="0"/>
    <n v="0"/>
    <b v="0"/>
    <n v="1E-3"/>
    <n v="256"/>
    <b v="1"/>
    <n v="1"/>
    <n v="3"/>
    <n v="0.1"/>
    <n v="0.1"/>
    <b v="0"/>
    <n v="32"/>
    <n v="7"/>
    <n v="1"/>
    <n v="16"/>
    <s v="./dataset/PEMS-SF/"/>
    <s v="Monthly"/>
    <n v="10"/>
    <b v="0"/>
    <s v="classification"/>
    <s v="d6c0d9d9d3d74843b2c1aef5aea95dbe7c38ffb66fa6e22edf233569b57d21ce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PEMS-SF', model='PatchTST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d6c0d9d9d3d74843b2c1aef5aea95dbe7c38ffb66fa6e22edf233569b57d21ce', device=device(type='cuda', index=0), num_class=7)"/>
    <x v="0"/>
    <s v="classification_PEMS-SF_PatchTST_UEA_ftM_sl144_ll48_pl0_dm128_nh8_el3_dl1_df256_expand2_dc4_fc1_ebtimeF_dtTrue_Exp_0d6c0d9d9d3d74843b2c1aef5aea95dbe7c38ffb66fa6e22edf233569b57d21ce"/>
    <s v="None"/>
    <n v="144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d852cd00feb742d19f7ef9dd1a53ab5b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0068120844761', 'TRAIN_END': '1779130440754803787', 'TEST_START': '1779130440754877979', 'TEST_END': '1779130474082415321'}"/>
    <n v="7"/>
    <s v="[128, 128]"/>
    <n v="0"/>
    <s v="PEMS-SF"/>
    <s v="moving_avg"/>
    <s v="d6c0d9d9d3d74843b2c1aef5aea95dbe7c38ffb66fa6e22edf233569b57d21ce"/>
    <n v="96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PEMS-SF_PatchTST_UEA_ftM_sl144_ll48_pl0_dm128_nh8_el3_dl1_df256_expand2_dc4_fc1_ebtimeF_dtTrue_Exp_0d6c0d9d9d3d74843b2c1aef5aea95dbe7c38ffb66fa6e22edf233569b57d21ce"/>
    <s v="run.py"/>
    <s v="sunwu"/>
    <x v="0"/>
    <x v="38"/>
  </r>
  <r>
    <s v="fcf98f71fcae4008a11c11f03b56ee26"/>
    <n v="32"/>
    <s v="FINISHED"/>
    <s v="mlflow-artifacts:/32/fcf98f71fcae4008a11c11f03b56ee26/artifacts"/>
    <s v="2026-05-18 18:52:57.277000+00:00"/>
    <s v="2026-05-18 18:53:03.634000+00:00"/>
    <n v="1.7791303753347E+18"/>
    <n v="0.21606436804965201"/>
    <n v="0.197959328149442"/>
    <n v="1.189495352"/>
    <n v="0.21606436804965201"/>
    <n v="1.7791303753346299E+18"/>
    <n v="0.262357414448669"/>
    <n v="1.7791303772432499E+18"/>
    <n v="1.7791303241114801E+18"/>
    <n v="48.81234892300000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EthanolConcentration/ --model_id EthanolConcentration --model PatchTST --data UEA --e_layers 3 --batch_size 32 --d_model 128 --d_ff 256 --top_k 3 --des Exp --itr 1 --learning_rate 0.001 --train_epochs 1000 --patience 10 --seed 42 --id d4272ffa1fe863d430a18d4c6c02397f890954c02e0119851bdd6d208ea4bd17"/>
    <n v="1"/>
    <b v="0"/>
    <b v="0"/>
    <s v="M"/>
    <n v="3"/>
    <b v="0"/>
    <n v="4"/>
    <n v="0"/>
    <n v="0"/>
    <b v="0"/>
    <n v="1E-3"/>
    <n v="256"/>
    <b v="1"/>
    <n v="1"/>
    <n v="3"/>
    <n v="0.1"/>
    <n v="0.1"/>
    <b v="0"/>
    <n v="32"/>
    <n v="42"/>
    <n v="1"/>
    <n v="16"/>
    <s v="./dataset/EthanolConcentration/"/>
    <s v="Monthly"/>
    <n v="10"/>
    <b v="0"/>
    <s v="classification"/>
    <s v="d4272ffa1fe863d430a18d4c6c02397f890954c02e0119851bdd6d208ea4bd17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EthanolConcentration', model='PatchTST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d4272ffa1fe863d430a18d4c6c02397f890954c02e0119851bdd6d208ea4bd17', device=device(type='cuda', index=0), num_class=4)"/>
    <x v="0"/>
    <s v="classification_EthanolConcentration_PatchTST_UEA_ftM_sl1751_ll48_pl0_dm128_nh8_el3_dl1_df256_expand2_dc4_fc1_ebtimeF_dtTrue_Exp_0d4272ffa1fe863d430a18d4c6c02397f890954c02e0119851bdd6d208ea4bd17"/>
    <s v="None"/>
    <n v="1751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23adeb37b73a4771ab93908739fe6727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0324111479964', 'TRAIN_END': '1779130375334634742', 'TEST_START': '1779130375334707281', 'TEST_END': '1779130377243254946'}"/>
    <n v="7"/>
    <s v="[128, 128]"/>
    <n v="0"/>
    <s v="EthanolConcentration"/>
    <s v="moving_avg"/>
    <s v="d4272ffa1fe863d430a18d4c6c02397f890954c02e0119851bdd6d208ea4bd17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EthanolConcentration_PatchTST_UEA_ftM_sl1751_ll48_pl0_dm128_nh8_el3_dl1_df256_expand2_dc4_fc1_ebtimeF_dtTrue_Exp_0d4272ffa1fe863d430a18d4c6c02397f890954c02e0119851bdd6d208ea4bd17"/>
    <s v="run.py"/>
    <s v="sunwu"/>
    <x v="8"/>
    <x v="39"/>
  </r>
  <r>
    <s v="afe1af4debf945a987cb03d97e3c4231"/>
    <n v="32"/>
    <s v="FINISHED"/>
    <s v="mlflow-artifacts:/32/afe1af4debf945a987cb03d97e3c4231/artifacts"/>
    <s v="2026-05-18 18:51:29.388000+00:00"/>
    <s v="2026-05-18 18:51:39.547000+00:00"/>
    <n v="1.7791302882991401E+18"/>
    <n v="0.85425771891364199"/>
    <n v="0.84531761579936104"/>
    <n v="0.43842315900000001"/>
    <n v="0.85425771891364199"/>
    <n v="1.77913028829907E+18"/>
    <n v="0.84687500000000004"/>
    <n v="1.77913028934722E+18"/>
    <n v="1.7791302528239401E+18"/>
    <n v="34.41904213800000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UWaveGestureLibrary/ --model_id UWaveGestureLibrary --model PatchTST --data UEA --e_layers 3 --batch_size 32 --d_model 128 --d_ff 256 --top_k 3 --des Exp --itr 1 --learning_rate 0.001 --train_epochs 1000 --patience 10 --seed 42 --id 151e33f4c2293044fbd306f932357dca59c4deca06db5990ff9acdffd4d42c00"/>
    <n v="1"/>
    <b v="0"/>
    <b v="0"/>
    <s v="M"/>
    <n v="3"/>
    <b v="0"/>
    <n v="8"/>
    <n v="0"/>
    <n v="0"/>
    <b v="0"/>
    <n v="1E-3"/>
    <n v="256"/>
    <b v="1"/>
    <n v="1"/>
    <n v="3"/>
    <n v="0.1"/>
    <n v="0.1"/>
    <b v="0"/>
    <n v="32"/>
    <n v="42"/>
    <n v="1"/>
    <n v="16"/>
    <s v="./dataset/UWaveGestureLibrary/"/>
    <s v="Monthly"/>
    <n v="10"/>
    <b v="0"/>
    <s v="classification"/>
    <s v="151e33f4c2293044fbd306f932357dca59c4deca06db5990ff9acdffd4d42c00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UWaveGestureLibrary', model='PatchTST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151e33f4c2293044fbd306f932357dca59c4deca06db5990ff9acdffd4d42c00', device=device(type='cuda', index=0), num_class=8)"/>
    <x v="0"/>
    <s v="classification_UWaveGestureLibrary_PatchTST_UEA_ftM_sl315_ll48_pl0_dm128_nh8_el3_dl1_df256_expand2_dc4_fc1_ebtimeF_dtTrue_Exp_0151e33f4c2293044fbd306f932357dca59c4deca06db5990ff9acdffd4d42c00"/>
    <s v="None"/>
    <n v="315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5049885c16e44b2eb988f38fa4d4ff3b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0252823948314', 'TRAIN_END': '1779130288299072818', 'TEST_START': '1779130288299146177', 'TEST_END': '1779130289347224400'}"/>
    <n v="7"/>
    <s v="[128, 128]"/>
    <n v="0"/>
    <s v="UWaveGestureLibrary"/>
    <s v="moving_avg"/>
    <s v="151e33f4c2293044fbd306f932357dca59c4deca06db5990ff9acdffd4d42c00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UWaveGestureLibrary_PatchTST_UEA_ftM_sl315_ll48_pl0_dm128_nh8_el3_dl1_df256_expand2_dc4_fc1_ebtimeF_dtTrue_Exp_0151e33f4c2293044fbd306f932357dca59c4deca06db5990ff9acdffd4d42c00"/>
    <s v="run.py"/>
    <s v="sunwu"/>
    <x v="9"/>
    <x v="40"/>
  </r>
  <r>
    <s v="8a948b8ac4144f7ea9a41d3edfeb16e4"/>
    <n v="32"/>
    <s v="FINISHED"/>
    <s v="mlflow-artifacts:/32/8a948b8ac4144f7ea9a41d3edfeb16e4/artifacts"/>
    <s v="2026-05-18 18:50:22.875000+00:00"/>
    <s v="2026-05-18 18:50:30.487000+00:00"/>
    <n v="1.77913014053603E+18"/>
    <n v="0.66076218708827394"/>
    <n v="0.65530239356783404"/>
    <n v="3.148507339"/>
    <n v="0.66076218708827394"/>
    <n v="1.7791301405359099E+18"/>
    <n v="0.65720771850170201"/>
    <n v="1.77913022284031E+18"/>
    <n v="1.7791296700357499E+18"/>
    <n v="157.252167197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FaceDetection/ --model_id FaceDetection --model PatchTST --data UEA --e_layers 3 --batch_size 32 --d_model 128 --d_ff 256 --top_k 3 --des Exp --itr 1 --learning_rate 0.001 --train_epochs 1000 --patience 10 --seed 7 --id b03a07296167e03af1afb9fa7b452616ca3a018e3dbd9c2c10aed0537cd9b497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7"/>
    <n v="1"/>
    <n v="16"/>
    <s v="./dataset/FaceDetection/"/>
    <s v="Monthly"/>
    <n v="10"/>
    <b v="0"/>
    <s v="classification"/>
    <s v="b03a07296167e03af1afb9fa7b452616ca3a018e3dbd9c2c10aed0537cd9b497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FaceDetection', model='PatchTST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b03a07296167e03af1afb9fa7b452616ca3a018e3dbd9c2c10aed0537cd9b497', device=device(type='cuda', index=0), num_class=2)"/>
    <x v="0"/>
    <s v="classification_FaceDetection_PatchTST_UEA_ftM_sl62_ll48_pl0_dm128_nh8_el3_dl1_df256_expand2_dc4_fc1_ebtimeF_dtTrue_Exp_0b03a07296167e03af1afb9fa7b452616ca3a018e3dbd9c2c10aed0537cd9b497"/>
    <s v="None"/>
    <n v="62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56891dc223c249f8aa91fe4dbdec4cbb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29670035758088', 'TRAIN_END': '1779130140535910718', 'TEST_START': '1779130140536037259', 'TEST_END': '1779130222840315008'}"/>
    <n v="7"/>
    <s v="[128, 128]"/>
    <n v="0"/>
    <s v="FaceDetection"/>
    <s v="moving_avg"/>
    <s v="b03a07296167e03af1afb9fa7b452616ca3a018e3dbd9c2c10aed0537cd9b497"/>
    <n v="144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FaceDetection_PatchTST_UEA_ftM_sl62_ll48_pl0_dm128_nh8_el3_dl1_df256_expand2_dc4_fc1_ebtimeF_dtTrue_Exp_0b03a07296167e03af1afb9fa7b452616ca3a018e3dbd9c2c10aed0537cd9b497"/>
    <s v="run.py"/>
    <s v="sunwu"/>
    <x v="2"/>
    <x v="41"/>
  </r>
  <r>
    <s v="10e7d6635a6d4cab8cdbfb1d17a8cb0d"/>
    <n v="32"/>
    <s v="FINISHED"/>
    <s v="mlflow-artifacts:/32/10e7d6635a6d4cab8cdbfb1d17a8cb0d/artifacts"/>
    <s v="2026-05-18 18:44:33.970000+00:00"/>
    <s v="2026-05-18 18:44:40.127000+00:00"/>
    <n v="1.7791298676682801E+18"/>
    <n v="0.97213866403796501"/>
    <n v="0.97176860618286898"/>
    <n v="0.72123546100000002"/>
    <n v="0.97213866403796501"/>
    <n v="1.7791298676682099E+18"/>
    <n v="0.97180536607548795"/>
    <n v="1.7791298739323799E+18"/>
    <n v="1.7791297640978401E+18"/>
    <n v="77.679917833999994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pokenArabicDigits/ --model_id SpokenArabicDigits --model PatchTST --data UEA --e_layers 3 --batch_size 32 --d_model 128 --d_ff 256 --top_k 3 --des Exp --itr 1 --learning_rate 0.001 --train_epochs 1000 --patience 10 --seed 7 --id 22b2618a98d71cef55d10e64331e2ceac3f7b7fada222c5245e7f0e5c2eea8e9"/>
    <n v="1"/>
    <b v="0"/>
    <b v="0"/>
    <s v="M"/>
    <n v="3"/>
    <b v="0"/>
    <n v="10"/>
    <n v="0"/>
    <n v="0"/>
    <b v="0"/>
    <n v="1E-3"/>
    <n v="256"/>
    <b v="1"/>
    <n v="1"/>
    <n v="3"/>
    <n v="0.1"/>
    <n v="0.1"/>
    <b v="0"/>
    <n v="32"/>
    <n v="7"/>
    <n v="1"/>
    <n v="16"/>
    <s v="./dataset/SpokenArabicDigits/"/>
    <s v="Monthly"/>
    <n v="10"/>
    <b v="0"/>
    <s v="classification"/>
    <s v="22b2618a98d71cef55d10e64331e2ceac3f7b7fada222c5245e7f0e5c2eea8e9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pokenArabicDigits', model='PatchTST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22b2618a98d71cef55d10e64331e2ceac3f7b7fada222c5245e7f0e5c2eea8e9', device=device(type='cuda', index=0), num_class=10)"/>
    <x v="0"/>
    <s v="classification_SpokenArabicDigits_PatchTST_UEA_ftM_sl93_ll48_pl0_dm128_nh8_el3_dl1_df256_expand2_dc4_fc1_ebtimeF_dtTrue_Exp_022b2618a98d71cef55d10e64331e2ceac3f7b7fada222c5245e7f0e5c2eea8e9"/>
    <s v="None"/>
    <n v="93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a3538b79f27c4fb0801d3c685078a53c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29764097841069', 'TRAIN_END': '1779129867668217745', 'TEST_START': '1779129867668287839', 'TEST_END': '1779129873932381647'}"/>
    <n v="7"/>
    <s v="[128, 128]"/>
    <n v="0"/>
    <s v="SpokenArabicDigits"/>
    <s v="moving_avg"/>
    <s v="22b2618a98d71cef55d10e64331e2ceac3f7b7fada222c5245e7f0e5c2eea8e9"/>
    <n v="1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pokenArabicDigits_PatchTST_UEA_ftM_sl93_ll48_pl0_dm128_nh8_el3_dl1_df256_expand2_dc4_fc1_ebtimeF_dtTrue_Exp_022b2618a98d71cef55d10e64331e2ceac3f7b7fada222c5245e7f0e5c2eea8e9"/>
    <s v="run.py"/>
    <s v="sunwu"/>
    <x v="1"/>
    <x v="42"/>
  </r>
  <r>
    <s v="1150cb07e7974853992b88a867fe4f23"/>
    <n v="32"/>
    <s v="FINISHED"/>
    <s v="mlflow-artifacts:/32/1150cb07e7974853992b88a867fe4f23/artifacts"/>
    <s v="2026-05-18 18:41:56.576000+00:00"/>
    <s v="2026-05-18 18:42:01.326000+00:00"/>
    <n v="1.7791297151692201E+18"/>
    <n v="0.48888339920948598"/>
    <n v="0.48882578096061202"/>
    <n v="0.71409111000000003"/>
    <n v="0.48888339920948598"/>
    <n v="1.7791297151691799E+18"/>
    <n v="0.48888888888888798"/>
    <n v="1.7791297165448901E+18"/>
    <n v="1.77912967003522E+18"/>
    <n v="42.868626867000003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2/ --model_id SelfRegulationSCP2 --model PatchTST --data UEA --e_layers 3 --batch_size 32 --d_model 128 --d_ff 256 --top_k 3 --des Exp --itr 1 --learning_rate 0.001 --train_epochs 1000 --patience 10 --seed 7 --id 8d675d20db027faf5f026f04e0067bbbc07fd35c9855ab68a70dfd91c620dda5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7"/>
    <n v="1"/>
    <n v="16"/>
    <s v="./dataset/SelfRegulationSCP2/"/>
    <s v="Monthly"/>
    <n v="10"/>
    <b v="0"/>
    <s v="classification"/>
    <s v="8d675d20db027faf5f026f04e0067bbbc07fd35c9855ab68a70dfd91c620dda5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2', model='PatchTST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8d675d20db027faf5f026f04e0067bbbc07fd35c9855ab68a70dfd91c620dda5', device=device(type='cuda', index=0), num_class=2)"/>
    <x v="0"/>
    <s v="classification_SelfRegulationSCP2_PatchTST_UEA_ftM_sl1152_ll48_pl0_dm128_nh8_el3_dl1_df256_expand2_dc4_fc1_ebtimeF_dtTrue_Exp_08d675d20db027faf5f026f04e0067bbbc07fd35c9855ab68a70dfd91c620dda5"/>
    <s v="None"/>
    <n v="1152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e6e4c63d24574d7d9a01f4f3b2e55e00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29670035227426', 'TRAIN_END': '1779129715169179783', 'TEST_START': '1779129715169227047', 'TEST_END': '1779129716544891151'}"/>
    <n v="7"/>
    <s v="[128, 128]"/>
    <n v="0"/>
    <s v="SelfRegulationSCP2"/>
    <s v="moving_avg"/>
    <s v="8d675d20db027faf5f026f04e0067bbbc07fd35c9855ab68a70dfd91c620dda5"/>
    <n v="7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2_PatchTST_UEA_ftM_sl1152_ll48_pl0_dm128_nh8_el3_dl1_df256_expand2_dc4_fc1_ebtimeF_dtTrue_Exp_08d675d20db027faf5f026f04e0067bbbc07fd35c9855ab68a70dfd91c620dda5"/>
    <s v="run.py"/>
    <s v="sunwu"/>
    <x v="3"/>
    <x v="43"/>
  </r>
  <r>
    <s v="34db1f4f82d947b680b9f870a32f0d4e"/>
    <n v="32"/>
    <s v="FINISHED"/>
    <s v="mlflow-artifacts:/32/34db1f4f82d947b680b9f870a32f0d4e/artifacts"/>
    <s v="2026-05-18 18:40:44.693000+00:00"/>
    <s v="2026-05-18 18:40:49.508000+00:00"/>
    <n v="1.77912964340781E+18"/>
    <n v="0.86515158877620202"/>
    <n v="0.86330605760643697"/>
    <n v="0.43247977199999998"/>
    <n v="0.86515158877620202"/>
    <n v="1.7791296434077299E+18"/>
    <n v="0.86348122866894195"/>
    <n v="1.77912964465633E+18"/>
    <n v="1.77912962479075E+18"/>
    <n v="16.034783245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1/ --model_id SelfRegulationSCP1 --model PatchTST --data UEA --e_layers 3 --batch_size 32 --d_model 128 --d_ff 256 --top_k 3 --des Exp --itr 1 --learning_rate 0.001 --train_epochs 1000 --patience 10 --seed 7 --id 8db307414baffc158a62bef72cbfb6a761ed896ce6ecc8c151f335c786e9366c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7"/>
    <n v="1"/>
    <n v="16"/>
    <s v="./dataset/SelfRegulationSCP1/"/>
    <s v="Monthly"/>
    <n v="10"/>
    <b v="0"/>
    <s v="classification"/>
    <s v="8db307414baffc158a62bef72cbfb6a761ed896ce6ecc8c151f335c786e9366c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1', model='PatchTST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8db307414baffc158a62bef72cbfb6a761ed896ce6ecc8c151f335c786e9366c', device=device(type='cuda', index=0), num_class=2)"/>
    <x v="0"/>
    <s v="classification_SelfRegulationSCP1_PatchTST_UEA_ftM_sl896_ll48_pl0_dm128_nh8_el3_dl1_df256_expand2_dc4_fc1_ebtimeF_dtTrue_Exp_08db307414baffc158a62bef72cbfb6a761ed896ce6ecc8c151f335c786e9366c"/>
    <s v="None"/>
    <n v="896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c56bb1fd206a491cacb03c1dfe687000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29624790759122', 'TRAIN_END': '1779129643407733426', 'TEST_START': '1779129643407810960', 'TEST_END': '1779129644656333678'}"/>
    <n v="7"/>
    <s v="[128, 128]"/>
    <n v="0"/>
    <s v="SelfRegulationSCP1"/>
    <s v="moving_avg"/>
    <s v="8db307414baffc158a62bef72cbfb6a761ed896ce6ecc8c151f335c786e9366c"/>
    <n v="6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1_PatchTST_UEA_ftM_sl896_ll48_pl0_dm128_nh8_el3_dl1_df256_expand2_dc4_fc1_ebtimeF_dtTrue_Exp_08db307414baffc158a62bef72cbfb6a761ed896ce6ecc8c151f335c786e9366c"/>
    <s v="run.py"/>
    <s v="sunwu"/>
    <x v="4"/>
    <x v="44"/>
  </r>
  <r>
    <s v="59d7b6ab936646bda7adae6bc0e530e0"/>
    <n v="32"/>
    <s v="FINISHED"/>
    <s v="mlflow-artifacts:/32/59d7b6ab936646bda7adae6bc0e530e0/artifacts"/>
    <s v="2026-05-18 18:39:59.215000+00:00"/>
    <s v="2026-05-18 18:40:05.130000+00:00"/>
    <n v="1.7791295980038999E+18"/>
    <n v="0.95100682756793298"/>
    <n v="0.94909341848047002"/>
    <n v="0.45583858999999999"/>
    <n v="0.95100682756793298"/>
    <n v="1.77912959800382E+18"/>
    <n v="0.94864864864864795"/>
    <n v="1.7791295991714099E+18"/>
    <n v="1.7791295263802399E+18"/>
    <n v="69.31533793799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JapaneseVowels/ --model_id JapaneseVowels --model PatchTST --data UEA --e_layers 3 --batch_size 32 --d_model 128 --d_ff 256 --top_k 3 --des Exp --itr 1 --learning_rate 0.001 --train_epochs 1000 --patience 10 --seed 7 --id 968a635469af5a08454f588539a16c1822862a750c8442c2ef3198cfbbad444a"/>
    <n v="1"/>
    <b v="0"/>
    <b v="0"/>
    <s v="M"/>
    <n v="3"/>
    <b v="0"/>
    <n v="9"/>
    <n v="0"/>
    <n v="0"/>
    <b v="0"/>
    <n v="1E-3"/>
    <n v="256"/>
    <b v="1"/>
    <n v="1"/>
    <n v="3"/>
    <n v="0.1"/>
    <n v="0.1"/>
    <b v="0"/>
    <n v="32"/>
    <n v="7"/>
    <n v="1"/>
    <n v="16"/>
    <s v="./dataset/JapaneseVowels/"/>
    <s v="Monthly"/>
    <n v="10"/>
    <b v="0"/>
    <s v="classification"/>
    <s v="968a635469af5a08454f588539a16c1822862a750c8442c2ef3198cfbbad444a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JapaneseVowels', model='PatchTST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968a635469af5a08454f588539a16c1822862a750c8442c2ef3198cfbbad444a', device=device(type='cuda', index=0), num_class=9)"/>
    <x v="0"/>
    <s v="classification_JapaneseVowels_PatchTST_UEA_ftM_sl29_ll48_pl0_dm128_nh8_el3_dl1_df256_expand2_dc4_fc1_ebtimeF_dtTrue_Exp_0968a635469af5a08454f588539a16c1822862a750c8442c2ef3198cfbbad444a"/>
    <s v="None"/>
    <n v="29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b2b170ab00384dcea8cd10ec0f3c3a9f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29526380247295', 'TRAIN_END': '1779129598003828998', 'TEST_START': '1779129598003903104', 'TEST_END': '1779129599171419476'}"/>
    <n v="7"/>
    <s v="[128, 128]"/>
    <n v="0"/>
    <s v="JapaneseVowels"/>
    <s v="moving_avg"/>
    <s v="968a635469af5a08454f588539a16c1822862a750c8442c2ef3198cfbbad444a"/>
    <n v="12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JapaneseVowels_PatchTST_UEA_ftM_sl29_ll48_pl0_dm128_nh8_el3_dl1_df256_expand2_dc4_fc1_ebtimeF_dtTrue_Exp_0968a635469af5a08454f588539a16c1822862a750c8442c2ef3198cfbbad444a"/>
    <s v="run.py"/>
    <s v="sunwu"/>
    <x v="5"/>
    <x v="45"/>
  </r>
  <r>
    <s v="5a359264482b42aab676308891c9c6ca"/>
    <n v="32"/>
    <s v="FINISHED"/>
    <s v="mlflow-artifacts:/32/5a359264482b42aab676308891c9c6ca/artifacts"/>
    <s v="2026-05-18 18:38:17.016000+00:00"/>
    <s v="2026-05-18 18:38:27.444000+00:00"/>
    <n v="1.77912949308943E+18"/>
    <n v="0.643912342574813"/>
    <n v="0.63868927002533404"/>
    <n v="0.53461583099999999"/>
    <n v="0.643912342574813"/>
    <n v="1.7791294930893599E+18"/>
    <n v="0.63414634146341398"/>
    <n v="1.7791294969676101E+18"/>
    <n v="1.7791294556384799E+18"/>
    <n v="27.333083528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eartbeat/ --model_id Heartbeat --model PatchTST --data UEA --e_layers 3 --batch_size 32 --d_model 128 --d_ff 256 --top_k 3 --des Exp --itr 1 --learning_rate 0.001 --train_epochs 1000 --patience 10 --seed 7 --id a41a865ca8544d1292a52b8c2244cce6d2db504633f76d9becdc6ce07d922a2b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7"/>
    <n v="1"/>
    <n v="16"/>
    <s v="./dataset/Heartbeat/"/>
    <s v="Monthly"/>
    <n v="10"/>
    <b v="0"/>
    <s v="classification"/>
    <s v="a41a865ca8544d1292a52b8c2244cce6d2db504633f76d9becdc6ce07d922a2b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eartbeat', model='PatchTST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a41a865ca8544d1292a52b8c2244cce6d2db504633f76d9becdc6ce07d922a2b', device=device(type='cuda', index=0), num_class=2)"/>
    <x v="0"/>
    <s v="classification_Heartbeat_PatchTST_UEA_ftM_sl405_ll48_pl0_dm128_nh8_el3_dl1_df256_expand2_dc4_fc1_ebtimeF_dtTrue_Exp_0a41a865ca8544d1292a52b8c2244cce6d2db504633f76d9becdc6ce07d922a2b"/>
    <s v="None"/>
    <n v="405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85e6ade8cdcf442f9df76ed56f501e89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29455638485455', 'TRAIN_END': '1779129493089366605', 'TEST_START': '1779129493089431873', 'TEST_END': '1779129496967616232'}"/>
    <n v="7"/>
    <s v="[128, 128]"/>
    <n v="0"/>
    <s v="Heartbeat"/>
    <s v="moving_avg"/>
    <s v="a41a865ca8544d1292a52b8c2244cce6d2db504633f76d9becdc6ce07d922a2b"/>
    <n v="61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eartbeat_PatchTST_UEA_ftM_sl405_ll48_pl0_dm128_nh8_el3_dl1_df256_expand2_dc4_fc1_ebtimeF_dtTrue_Exp_0a41a865ca8544d1292a52b8c2244cce6d2db504633f76d9becdc6ce07d922a2b"/>
    <s v="run.py"/>
    <s v="sunwu"/>
    <x v="6"/>
    <x v="46"/>
  </r>
  <r>
    <s v="2f2d77a18ba844f686446b358ffc51b0"/>
    <n v="32"/>
    <s v="FINISHED"/>
    <s v="mlflow-artifacts:/32/2f2d77a18ba844f686446b358ffc51b0/artifacts"/>
    <s v="2026-05-18 18:36:48.987000+00:00"/>
    <s v="2026-05-18 18:36:59.317000+00:00"/>
    <n v="1.77912940771459E+18"/>
    <n v="0.27376337927115202"/>
    <n v="0.239594392634398"/>
    <n v="0.49861340399999998"/>
    <n v="0.27376337927115202"/>
    <n v="1.77912940771453E+18"/>
    <n v="0.254117647058823"/>
    <n v="1.77912940894413E+18"/>
    <n v="1.7791293570320799E+18"/>
    <n v="48.89435031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andwriting/ --model_id Handwriting --model PatchTST --data UEA --e_layers 3 --batch_size 32 --d_model 128 --d_ff 256 --top_k 3 --des Exp --itr 1 --learning_rate 0.001 --train_epochs 1000 --patience 10 --seed 7 --id a0b2b4ca8d00a803b58583fc5dd1bc0d1866d3b1bea619cd2a59ebc97fc2e0a3"/>
    <n v="1"/>
    <b v="0"/>
    <b v="0"/>
    <s v="M"/>
    <n v="3"/>
    <b v="0"/>
    <n v="26"/>
    <n v="0"/>
    <n v="0"/>
    <b v="0"/>
    <n v="1E-3"/>
    <n v="256"/>
    <b v="1"/>
    <n v="1"/>
    <n v="3"/>
    <n v="0.1"/>
    <n v="0.1"/>
    <b v="0"/>
    <n v="32"/>
    <n v="7"/>
    <n v="1"/>
    <n v="16"/>
    <s v="./dataset/Handwriting/"/>
    <s v="Monthly"/>
    <n v="10"/>
    <b v="0"/>
    <s v="classification"/>
    <s v="a0b2b4ca8d00a803b58583fc5dd1bc0d1866d3b1bea619cd2a59ebc97fc2e0a3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andwriting', model='PatchTST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a0b2b4ca8d00a803b58583fc5dd1bc0d1866d3b1bea619cd2a59ebc97fc2e0a3', device=device(type='cuda', index=0), num_class=26)"/>
    <x v="0"/>
    <s v="classification_Handwriting_PatchTST_UEA_ftM_sl152_ll48_pl0_dm128_nh8_el3_dl1_df256_expand2_dc4_fc1_ebtimeF_dtTrue_Exp_0a0b2b4ca8d00a803b58583fc5dd1bc0d1866d3b1bea619cd2a59ebc97fc2e0a3"/>
    <s v="None"/>
    <n v="152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efd0ebd7a75f4dc185e6bf5dbfe09953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29357032082802', 'TRAIN_END': '1779129407714530767', 'TEST_START': '1779129407714595054', 'TEST_END': '1779129408944135361'}"/>
    <n v="7"/>
    <s v="[128, 128]"/>
    <n v="0"/>
    <s v="Handwriting"/>
    <s v="moving_avg"/>
    <s v="a0b2b4ca8d00a803b58583fc5dd1bc0d1866d3b1bea619cd2a59ebc97fc2e0a3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andwriting_PatchTST_UEA_ftM_sl152_ll48_pl0_dm128_nh8_el3_dl1_df256_expand2_dc4_fc1_ebtimeF_dtTrue_Exp_0a0b2b4ca8d00a803b58583fc5dd1bc0d1866d3b1bea619cd2a59ebc97fc2e0a3"/>
    <s v="run.py"/>
    <s v="sunwu"/>
    <x v="7"/>
    <x v="47"/>
  </r>
  <r>
    <s v="1388656afc8c493db4b333caa6cbb7b8"/>
    <n v="32"/>
    <s v="FINISHED"/>
    <s v="mlflow-artifacts:/32/1388656afc8c493db4b333caa6cbb7b8/artifacts"/>
    <s v="2026-05-18 18:35:31.487000+00:00"/>
    <s v="2026-05-18 18:35:39.531000+00:00"/>
    <n v="1.77912932996833E+18"/>
    <n v="0.19185589349740501"/>
    <n v="0.210948630896926"/>
    <n v="0.91956815700000005"/>
    <n v="0.19185589349740501"/>
    <n v="1.7791293299682601E+18"/>
    <n v="0.25475285171102602"/>
    <n v="1.7791293314423199E+18"/>
    <n v="1.7791292720692101E+18"/>
    <n v="56.019312393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EthanolConcentration/ --model_id EthanolConcentration --model PatchTST --data UEA --e_layers 3 --batch_size 32 --d_model 128 --d_ff 256 --top_k 3 --des Exp --itr 1 --learning_rate 0.001 --train_epochs 1000 --patience 10 --seed 7 --id 257b2db1da17ba8fe3cc1e21505a7c271a19de0b1b5b72fa52eefc1e9b6aaf20"/>
    <n v="1"/>
    <b v="0"/>
    <b v="0"/>
    <s v="M"/>
    <n v="3"/>
    <b v="0"/>
    <n v="4"/>
    <n v="0"/>
    <n v="0"/>
    <b v="0"/>
    <n v="1E-3"/>
    <n v="256"/>
    <b v="1"/>
    <n v="1"/>
    <n v="3"/>
    <n v="0.1"/>
    <n v="0.1"/>
    <b v="0"/>
    <n v="32"/>
    <n v="7"/>
    <n v="1"/>
    <n v="16"/>
    <s v="./dataset/EthanolConcentration/"/>
    <s v="Monthly"/>
    <n v="10"/>
    <b v="0"/>
    <s v="classification"/>
    <s v="257b2db1da17ba8fe3cc1e21505a7c271a19de0b1b5b72fa52eefc1e9b6aaf20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EthanolConcentration', model='PatchTST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257b2db1da17ba8fe3cc1e21505a7c271a19de0b1b5b72fa52eefc1e9b6aaf20', device=device(type='cuda', index=0), num_class=4)"/>
    <x v="0"/>
    <s v="classification_EthanolConcentration_PatchTST_UEA_ftM_sl1751_ll48_pl0_dm128_nh8_el3_dl1_df256_expand2_dc4_fc1_ebtimeF_dtTrue_Exp_0257b2db1da17ba8fe3cc1e21505a7c271a19de0b1b5b72fa52eefc1e9b6aaf20"/>
    <s v="None"/>
    <n v="1751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04553df0124949a2a4802dee824a50c1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29272069212265', 'TRAIN_END': '1779129329968264827', 'TEST_START': '1779129329968331865', 'TEST_END': '1779129331442322734'}"/>
    <n v="7"/>
    <s v="[128, 128]"/>
    <n v="0"/>
    <s v="EthanolConcentration"/>
    <s v="moving_avg"/>
    <s v="257b2db1da17ba8fe3cc1e21505a7c271a19de0b1b5b72fa52eefc1e9b6aaf20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EthanolConcentration_PatchTST_UEA_ftM_sl1751_ll48_pl0_dm128_nh8_el3_dl1_df256_expand2_dc4_fc1_ebtimeF_dtTrue_Exp_0257b2db1da17ba8fe3cc1e21505a7c271a19de0b1b5b72fa52eefc1e9b6aaf20"/>
    <s v="run.py"/>
    <s v="sunwu"/>
    <x v="8"/>
    <x v="48"/>
  </r>
  <r>
    <s v="2516cfdbe1ec461d93011049ddbb09d2"/>
    <n v="32"/>
    <s v="FINISHED"/>
    <s v="mlflow-artifacts:/32/2516cfdbe1ec461d93011049ddbb09d2/artifacts"/>
    <s v="2026-05-18 18:35:01.788000+00:00"/>
    <s v="2026-05-18 18:35:08.661000+00:00"/>
    <n v="1.7791292989987E+18"/>
    <n v="0.85684100071241598"/>
    <n v="0.84988139534733598"/>
    <n v="0.46019948599999999"/>
    <n v="0.85684100071241598"/>
    <n v="1.77912929899856E+18"/>
    <n v="0.85"/>
    <n v="1.77912930130578E+18"/>
    <n v="1.77912926190606E+18"/>
    <n v="36.17550562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UWaveGestureLibrary/ --model_id UWaveGestureLibrary --model PatchTST --data UEA --e_layers 3 --batch_size 32 --d_model 128 --d_ff 256 --top_k 3 --des Exp --itr 1 --learning_rate 0.001 --train_epochs 1000 --patience 10 --seed 7 --id 95c979674f9dd878cca056e41cdda27a3e190a42ddde950de2c1660b1e7dae15"/>
    <n v="1"/>
    <b v="0"/>
    <b v="0"/>
    <s v="M"/>
    <n v="3"/>
    <b v="0"/>
    <n v="8"/>
    <n v="0"/>
    <n v="0"/>
    <b v="0"/>
    <n v="1E-3"/>
    <n v="256"/>
    <b v="1"/>
    <n v="1"/>
    <n v="3"/>
    <n v="0.1"/>
    <n v="0.1"/>
    <b v="0"/>
    <n v="32"/>
    <n v="7"/>
    <n v="1"/>
    <n v="16"/>
    <s v="./dataset/UWaveGestureLibrary/"/>
    <s v="Monthly"/>
    <n v="10"/>
    <b v="0"/>
    <s v="classification"/>
    <s v="95c979674f9dd878cca056e41cdda27a3e190a42ddde950de2c1660b1e7dae15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UWaveGestureLibrary', model='PatchTST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95c979674f9dd878cca056e41cdda27a3e190a42ddde950de2c1660b1e7dae15', device=device(type='cuda', index=0), num_class=8)"/>
    <x v="0"/>
    <s v="classification_UWaveGestureLibrary_PatchTST_UEA_ftM_sl315_ll48_pl0_dm128_nh8_el3_dl1_df256_expand2_dc4_fc1_ebtimeF_dtTrue_Exp_095c979674f9dd878cca056e41cdda27a3e190a42ddde950de2c1660b1e7dae15"/>
    <s v="None"/>
    <n v="315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f5eee9f5b1de47db9ef719eac37951d1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29261906063179', 'TRAIN_END': '1779129298998569058', 'TEST_START': '1779129298998702821', 'TEST_END': '1779129301305784724'}"/>
    <n v="7"/>
    <s v="[128, 128]"/>
    <n v="0"/>
    <s v="UWaveGestureLibrary"/>
    <s v="moving_avg"/>
    <s v="95c979674f9dd878cca056e41cdda27a3e190a42ddde950de2c1660b1e7dae15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UWaveGestureLibrary_PatchTST_UEA_ftM_sl315_ll48_pl0_dm128_nh8_el3_dl1_df256_expand2_dc4_fc1_ebtimeF_dtTrue_Exp_095c979674f9dd878cca056e41cdda27a3e190a42ddde950de2c1660b1e7dae15"/>
    <s v="run.py"/>
    <s v="sunwu"/>
    <x v="9"/>
    <x v="49"/>
  </r>
  <r>
    <s v="9d7bbf7906504b9d9052ec8102e117c3"/>
    <n v="32"/>
    <s v="FINISHED"/>
    <s v="mlflow-artifacts:/32/9d7bbf7906504b9d9052ec8102e117c3/artifacts"/>
    <s v="2026-05-17 05:54:26.684000+00:00"/>
    <s v="2026-05-17 05:54:29.825000+00:00"/>
    <n v="1.77899723872941E+18"/>
    <n v="0.86686550443775801"/>
    <n v="0.82754160055973702"/>
    <n v="0.69406742300000002"/>
    <n v="0.86686550443775801"/>
    <n v="1.7789972387293399E+18"/>
    <n v="0.82658959537572196"/>
    <n v="1.7789972666317901E+18"/>
    <n v="1.7789966326894899E+18"/>
    <n v="64.911489857999996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PEMS-SF/ --model_id PEMS-SF --model TimesNet --data UEA --e_layers 3 --batch_size 32 --d_model 128 --d_ff 256 --top_k 3 --des Exp --itr 1 --learning_rate 0.001 --train_epochs 1000 --patience 10 --seed 2026 --id 4f3229c0698370daf51bacb9831e28d7155b07e39fe5332d88099522517cf51e"/>
    <n v="1"/>
    <b v="0"/>
    <b v="0"/>
    <s v="M"/>
    <n v="3"/>
    <b v="0"/>
    <n v="7"/>
    <n v="0"/>
    <n v="0"/>
    <b v="0"/>
    <n v="1E-3"/>
    <n v="256"/>
    <b v="1"/>
    <n v="1"/>
    <n v="3"/>
    <n v="0.1"/>
    <n v="0.1"/>
    <b v="0"/>
    <n v="32"/>
    <n v="2026"/>
    <n v="1"/>
    <n v="16"/>
    <s v="./dataset/PEMS-SF/"/>
    <s v="Monthly"/>
    <n v="10"/>
    <b v="0"/>
    <s v="classification"/>
    <s v="4f3229c0698370daf51bacb9831e28d7155b07e39fe5332d88099522517cf51e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PEMS-SF', model='TimesNet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4f3229c0698370daf51bacb9831e28d7155b07e39fe5332d88099522517cf51e', device=device(type='cuda', index=0), num_class=7)"/>
    <x v="1"/>
    <s v="classification_PEMS-SF_TimesNet_UEA_ftM_sl144_ll48_pl0_dm128_nh8_el3_dl1_df256_expand2_dc4_fc1_ebtimeF_dtTrue_Exp_04f3229c0698370daf51bacb9831e28d7155b07e39fe5332d88099522517cf51e"/>
    <s v="None"/>
    <n v="144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a352858c11144828b1a5fa02827cece7', 'MLFLOW_TRACKING_USERNAME': 'sunwu', 'MLFLOW_TRACKING_PASSWORD': 'sunwu520yxq.....', 'MLFLOW_TRACKING_URI': 'https://mlflow.gwusun.top', 'MLFLOW_EXPERIMENT_ID': '32', 'KMP_DUPLICATE_LIB_OK': 'True', 'KMP_INIT_AT_FORK': 'FALSE', 'TRAIN_START': '1778996632689492427', 'TORCHINDUCTOR_CACHE_DIR': '/tmp/torchinductor_root', 'TRAIN_END': '1778997238729345848', 'TEST_START': '1778997238729415332', 'TEST_END': '1778997266631793959'}"/>
    <n v="7"/>
    <s v="[128, 128]"/>
    <n v="0"/>
    <s v="PEMS-SF"/>
    <s v="moving_avg"/>
    <s v="4f3229c0698370daf51bacb9831e28d7155b07e39fe5332d88099522517cf51e"/>
    <n v="96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PEMS-SF_TimesNet_UEA_ftM_sl144_ll48_pl0_dm128_nh8_el3_dl1_df256_expand2_dc4_fc1_ebtimeF_dtTrue_Exp_04f3229c0698370daf51bacb9831e28d7155b07e39fe5332d88099522517cf51e"/>
    <s v="run.py"/>
    <s v="sunwu"/>
    <x v="0"/>
    <x v="50"/>
  </r>
  <r>
    <s v="5b7e36ae8c124127867d10aefa38695c"/>
    <n v="32"/>
    <s v="FINISHED"/>
    <s v="mlflow-artifacts:/32/5b7e36ae8c124127867d10aefa38695c/artifacts"/>
    <s v="2026-05-17 05:52:20.111000+00:00"/>
    <s v="2026-05-17 05:52:23.299000+00:00"/>
    <n v="1.7789971227934899E+18"/>
    <n v="0.99011607245635402"/>
    <n v="0.98997997630804202"/>
    <n v="12.258033502"/>
    <n v="0.99011607245635402"/>
    <n v="1.77899712279343E+18"/>
    <n v="0.98999545247839904"/>
    <n v="1.7789971398402501E+18"/>
    <n v="1.77899522857938E+18"/>
    <n v="1870.922529647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pokenArabicDigits/ --model_id SpokenArabicDigits --model TimesNet --data UEA --e_layers 3 --batch_size 32 --d_model 128 --d_ff 256 --top_k 3 --des Exp --itr 1 --learning_rate 0.001 --train_epochs 1000 --patience 10 --seed 2026 --id cbfdbbeb04292c2f67f24450436e69920bedbcc82e05e2d079e6171eda30cbcc"/>
    <n v="1"/>
    <b v="0"/>
    <b v="0"/>
    <s v="M"/>
    <n v="3"/>
    <b v="0"/>
    <n v="10"/>
    <n v="0"/>
    <n v="0"/>
    <b v="0"/>
    <n v="1E-3"/>
    <n v="256"/>
    <b v="1"/>
    <n v="1"/>
    <n v="3"/>
    <n v="0.1"/>
    <n v="0.1"/>
    <b v="0"/>
    <n v="32"/>
    <n v="2026"/>
    <n v="1"/>
    <n v="16"/>
    <s v="./dataset/SpokenArabicDigits/"/>
    <s v="Monthly"/>
    <n v="10"/>
    <b v="0"/>
    <s v="classification"/>
    <s v="cbfdbbeb04292c2f67f24450436e69920bedbcc82e05e2d079e6171eda30cbcc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pokenArabicDigits', model='TimesNet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cbfdbbeb04292c2f67f24450436e69920bedbcc82e05e2d079e6171eda30cbcc', device=device(type='cuda', index=0), num_class=10)"/>
    <x v="1"/>
    <s v="classification_SpokenArabicDigits_TimesNet_UEA_ftM_sl93_ll48_pl0_dm128_nh8_el3_dl1_df256_expand2_dc4_fc1_ebtimeF_dtTrue_Exp_0cbfdbbeb04292c2f67f24450436e69920bedbcc82e05e2d079e6171eda30cbcc"/>
    <s v="None"/>
    <n v="93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170d0d3cb6614b6a8932756a6b8e31a4', 'MLFLOW_TRACKING_USERNAME': 'sunwu', 'MLFLOW_TRACKING_PASSWORD': 'sunwu520yxq.....', 'MLFLOW_TRACKING_URI': 'https://mlflow.gwusun.top', 'MLFLOW_EXPERIMENT_ID': '32', 'KMP_DUPLICATE_LIB_OK': 'True', 'KMP_INIT_AT_FORK': 'FALSE', 'TRAIN_START': '1778995228579386604', 'TORCHINDUCTOR_CACHE_DIR': '/tmp/torchinductor_root', 'TRAIN_END': '1778997122793433277', 'TEST_START': '1778997122793491038', 'TEST_END': '1778997139840251271'}"/>
    <n v="7"/>
    <s v="[128, 128]"/>
    <n v="0"/>
    <s v="SpokenArabicDigits"/>
    <s v="moving_avg"/>
    <s v="cbfdbbeb04292c2f67f24450436e69920bedbcc82e05e2d079e6171eda30cbcc"/>
    <n v="1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pokenArabicDigits_TimesNet_UEA_ftM_sl93_ll48_pl0_dm128_nh8_el3_dl1_df256_expand2_dc4_fc1_ebtimeF_dtTrue_Exp_0cbfdbbeb04292c2f67f24450436e69920bedbcc82e05e2d079e6171eda30cbcc"/>
    <s v="run.py"/>
    <s v="sunwu"/>
    <x v="1"/>
    <x v="51"/>
  </r>
  <r>
    <s v="1450a1bdd4e94e1fb4f2f4ba405bec42"/>
    <n v="32"/>
    <s v="FINISHED"/>
    <s v="mlflow-artifacts:/32/1450a1bdd4e94e1fb4f2f4ba405bec42/artifacts"/>
    <s v="2026-05-17 05:20:32.137000+00:00"/>
    <s v="2026-05-17 05:20:35.291000+00:00"/>
    <n v="1.7789952292829499E+18"/>
    <n v="0.56613756613756605"/>
    <n v="0.53703703703703698"/>
    <n v="2.263054796"/>
    <n v="0.56613756613756605"/>
    <n v="1.7789952292829E+18"/>
    <n v="0.55555555555555503"/>
    <n v="1.7789952320845299E+18"/>
    <n v="1.7789948411766999E+18"/>
    <n v="378.8425846150000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2/ --model_id SelfRegulationSCP2 --model TimesNet --data UEA --e_layers 3 --batch_size 32 --d_model 128 --d_ff 256 --top_k 3 --des Exp --itr 1 --learning_rate 0.001 --train_epochs 1000 --patience 10 --seed 2026 --id dfd646e34eaae0553324d409861097622bdd01a4cb5a18ccb9cd1c3b3bbd422a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2026"/>
    <n v="1"/>
    <n v="16"/>
    <s v="./dataset/SelfRegulationSCP2/"/>
    <s v="Monthly"/>
    <n v="10"/>
    <b v="0"/>
    <s v="classification"/>
    <s v="dfd646e34eaae0553324d409861097622bdd01a4cb5a18ccb9cd1c3b3bbd422a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2', model='TimesNet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dfd646e34eaae0553324d409861097622bdd01a4cb5a18ccb9cd1c3b3bbd422a', device=device(type='cuda', index=0), num_class=2)"/>
    <x v="1"/>
    <s v="classification_SelfRegulationSCP2_TimesNet_UEA_ftM_sl1152_ll48_pl0_dm128_nh8_el3_dl1_df256_expand2_dc4_fc1_ebtimeF_dtTrue_Exp_0dfd646e34eaae0553324d409861097622bdd01a4cb5a18ccb9cd1c3b3bbd422a"/>
    <s v="None"/>
    <n v="115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ea563f68b8d9438ca691d19728ce17e8', 'MLFLOW_TRACKING_USERNAME': 'sunwu', 'MLFLOW_TRACKING_PASSWORD': 'sunwu520yxq.....', 'MLFLOW_TRACKING_URI': 'https://mlflow.gwusun.top', 'MLFLOW_EXPERIMENT_ID': '32', 'KMP_DUPLICATE_LIB_OK': 'True', 'KMP_INIT_AT_FORK': 'FALSE', 'TRAIN_START': '1778994841176705816', 'TORCHINDUCTOR_CACHE_DIR': '/tmp/torchinductor_root', 'TRAIN_END': '1778995229282903246', 'TEST_START': '1778995229282949783', 'TEST_END': '1778995232084533715'}"/>
    <n v="7"/>
    <s v="[128, 128]"/>
    <n v="0"/>
    <s v="SelfRegulationSCP2"/>
    <s v="moving_avg"/>
    <s v="dfd646e34eaae0553324d409861097622bdd01a4cb5a18ccb9cd1c3b3bbd422a"/>
    <n v="7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2_TimesNet_UEA_ftM_sl1152_ll48_pl0_dm128_nh8_el3_dl1_df256_expand2_dc4_fc1_ebtimeF_dtTrue_Exp_0dfd646e34eaae0553324d409861097622bdd01a4cb5a18ccb9cd1c3b3bbd422a"/>
    <s v="run.py"/>
    <s v="sunwu"/>
    <x v="3"/>
    <x v="52"/>
  </r>
  <r>
    <s v="1cd80b1e89c348eeb7f2315d06aa4b89"/>
    <n v="32"/>
    <s v="FINISHED"/>
    <s v="mlflow-artifacts:/32/1cd80b1e89c348eeb7f2315d06aa4b89/artifacts"/>
    <s v="2026-05-17 05:19:36.881000+00:00"/>
    <s v="2026-05-17 05:19:40.080000+00:00"/>
    <n v="1.77899516867982E+18"/>
    <n v="0.89508300278796504"/>
    <n v="0.89412888519417399"/>
    <n v="7.2755261940000002"/>
    <n v="0.89508300278796504"/>
    <n v="1.7789951686797701E+18"/>
    <n v="0.89419795221843001"/>
    <n v="1.7789951768429E+18"/>
    <n v="1.7789945423803599E+18"/>
    <n v="604.3104100990000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1/ --model_id SelfRegulationSCP1 --model TimesNet --data UEA --e_layers 3 --batch_size 32 --d_model 128 --d_ff 256 --top_k 3 --des Exp --itr 1 --learning_rate 0.001 --train_epochs 1000 --patience 10 --seed 2026 --id 9173fc9f8739e780d237bc495afc031feb2003c805c2b60ce81988a42c216d79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2026"/>
    <n v="1"/>
    <n v="16"/>
    <s v="./dataset/SelfRegulationSCP1/"/>
    <s v="Monthly"/>
    <n v="10"/>
    <b v="0"/>
    <s v="classification"/>
    <s v="9173fc9f8739e780d237bc495afc031feb2003c805c2b60ce81988a42c216d79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1', model='TimesNet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9173fc9f8739e780d237bc495afc031feb2003c805c2b60ce81988a42c216d79', device=device(type='cuda', index=0), num_class=2)"/>
    <x v="1"/>
    <s v="classification_SelfRegulationSCP1_TimesNet_UEA_ftM_sl896_ll48_pl0_dm128_nh8_el3_dl1_df256_expand2_dc4_fc1_ebtimeF_dtTrue_Exp_09173fc9f8739e780d237bc495afc031feb2003c805c2b60ce81988a42c216d79"/>
    <s v="None"/>
    <n v="896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825c57279e6b4457ae06807ce4de9d3b', 'MLFLOW_TRACKING_USERNAME': 'sunwu', 'MLFLOW_TRACKING_PASSWORD': 'sunwu520yxq.....', 'MLFLOW_TRACKING_URI': 'https://mlflow.gwusun.top', 'MLFLOW_EXPERIMENT_ID': '32', 'KMP_DUPLICATE_LIB_OK': 'True', 'KMP_INIT_AT_FORK': 'FALSE', 'TRAIN_START': '1778994542380359832', 'TORCHINDUCTOR_CACHE_DIR': '/tmp/torchinductor_root', 'TRAIN_END': '1778995168679777787', 'TEST_START': '1778995168679823618', 'TEST_END': '1778995176842904462'}"/>
    <n v="7"/>
    <s v="[128, 128]"/>
    <n v="0"/>
    <s v="SelfRegulationSCP1"/>
    <s v="moving_avg"/>
    <s v="9173fc9f8739e780d237bc495afc031feb2003c805c2b60ce81988a42c216d79"/>
    <n v="6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1_TimesNet_UEA_ftM_sl896_ll48_pl0_dm128_nh8_el3_dl1_df256_expand2_dc4_fc1_ebtimeF_dtTrue_Exp_09173fc9f8739e780d237bc495afc031feb2003c805c2b60ce81988a42c216d79"/>
    <s v="run.py"/>
    <s v="sunwu"/>
    <x v="4"/>
    <x v="53"/>
  </r>
  <r>
    <s v="1c3e0ec79c224d44ba751baaae9b0cf2"/>
    <n v="32"/>
    <s v="FINISHED"/>
    <s v="mlflow-artifacts:/32/1c3e0ec79c224d44ba751baaae9b0cf2/artifacts"/>
    <s v="2026-05-17 05:13:19.215000+00:00"/>
    <s v="2026-05-17 05:13:23.461000+00:00"/>
    <n v="1.77899456322047E+18"/>
    <n v="0.65823542379914901"/>
    <n v="0.65665022262528405"/>
    <n v="35.416593677000002"/>
    <n v="0.65823542379914901"/>
    <n v="1.7789945632204201E+18"/>
    <n v="0.65720771850170201"/>
    <n v="1.7789947987029901E+18"/>
    <n v="1.77899276801711E+18"/>
    <n v="1476.93697612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FaceDetection/ --model_id FaceDetection --model TimesNet --data UEA --e_layers 3 --batch_size 32 --d_model 128 --d_ff 256 --top_k 3 --des Exp --itr 1 --learning_rate 0.001 --train_epochs 1000 --patience 10 --seed 2026 --id f861d1f9458c9cf06c6e245b1879b50e01a9238f20f91497bfdd3c9c0619a405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2026"/>
    <n v="1"/>
    <n v="16"/>
    <s v="./dataset/FaceDetection/"/>
    <s v="Monthly"/>
    <n v="10"/>
    <b v="0"/>
    <s v="classification"/>
    <s v="f861d1f9458c9cf06c6e245b1879b50e01a9238f20f91497bfdd3c9c0619a405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FaceDetection', model='TimesNet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f861d1f9458c9cf06c6e245b1879b50e01a9238f20f91497bfdd3c9c0619a405', device=device(type='cuda', index=0), num_class=2)"/>
    <x v="1"/>
    <s v="classification_FaceDetection_TimesNet_UEA_ftM_sl62_ll48_pl0_dm128_nh8_el3_dl1_df256_expand2_dc4_fc1_ebtimeF_dtTrue_Exp_0f861d1f9458c9cf06c6e245b1879b50e01a9238f20f91497bfdd3c9c0619a405"/>
    <s v="None"/>
    <n v="6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6fce90161c714f88b98c6611142522f9', 'MLFLOW_TRACKING_USERNAME': 'sunwu', 'MLFLOW_TRACKING_PASSWORD': 'sunwu520yxq.....', 'MLFLOW_TRACKING_URI': 'https://mlflow.gwusun.top', 'MLFLOW_EXPERIMENT_ID': '32', 'KMP_DUPLICATE_LIB_OK': 'True', 'KMP_INIT_AT_FORK': 'FALSE', 'TRAIN_START': '1778992768017110034', 'TORCHINDUCTOR_CACHE_DIR': '/tmp/torchinductor_root', 'TRAIN_END': '1778994563220421740', 'TEST_START': '1778994563220470449', 'TEST_END': '1778994798702992869'}"/>
    <n v="7"/>
    <s v="[128, 128]"/>
    <n v="0"/>
    <s v="FaceDetection"/>
    <s v="moving_avg"/>
    <s v="f861d1f9458c9cf06c6e245b1879b50e01a9238f20f91497bfdd3c9c0619a405"/>
    <n v="144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FaceDetection_TimesNet_UEA_ftM_sl62_ll48_pl0_dm128_nh8_el3_dl1_df256_expand2_dc4_fc1_ebtimeF_dtTrue_Exp_0f861d1f9458c9cf06c6e245b1879b50e01a9238f20f91497bfdd3c9c0619a405"/>
    <s v="run.py"/>
    <s v="sunwu"/>
    <x v="2"/>
    <x v="54"/>
  </r>
  <r>
    <s v="cfcfd6793f1140bf9827b78ee9c3d153"/>
    <n v="32"/>
    <s v="FINISHED"/>
    <s v="mlflow-artifacts:/32/cfcfd6793f1140bf9827b78ee9c3d153/artifacts"/>
    <s v="2026-05-17 05:07:13.593000+00:00"/>
    <s v="2026-05-17 05:07:21.580000+00:00"/>
    <n v="1.7789944194059699E+18"/>
    <n v="0.98408077859297305"/>
    <n v="0.98375094928670004"/>
    <n v="6.2104236469999998"/>
    <n v="0.98408077859297305"/>
    <n v="1.7789944194058801E+18"/>
    <n v="0.98378378378378295"/>
    <n v="1.7789944331208801E+18"/>
    <n v="1.77899391607983E+18"/>
    <n v="477.4844331269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JapaneseVowels/ --model_id JapaneseVowels --model TimesNet --data UEA --e_layers 3 --batch_size 32 --d_model 128 --d_ff 256 --top_k 3 --des Exp --itr 1 --learning_rate 0.001 --train_epochs 1000 --patience 10 --seed 2026 --id 4ddc893cf98da71cf5ff980aa5fd3166090e3b3e0a487bfbef2ce0035a9245d2"/>
    <n v="1"/>
    <b v="0"/>
    <b v="0"/>
    <s v="M"/>
    <n v="3"/>
    <b v="0"/>
    <n v="9"/>
    <n v="0"/>
    <n v="0"/>
    <b v="0"/>
    <n v="1E-3"/>
    <n v="256"/>
    <b v="1"/>
    <n v="1"/>
    <n v="3"/>
    <n v="0.1"/>
    <n v="0.1"/>
    <b v="0"/>
    <n v="32"/>
    <n v="2026"/>
    <n v="1"/>
    <n v="16"/>
    <s v="./dataset/JapaneseVowels/"/>
    <s v="Monthly"/>
    <n v="10"/>
    <b v="0"/>
    <s v="classification"/>
    <s v="4ddc893cf98da71cf5ff980aa5fd3166090e3b3e0a487bfbef2ce0035a9245d2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JapaneseVowels', model='TimesNet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4ddc893cf98da71cf5ff980aa5fd3166090e3b3e0a487bfbef2ce0035a9245d2', device=device(type='cuda', index=0), num_class=9)"/>
    <x v="1"/>
    <s v="classification_JapaneseVowels_TimesNet_UEA_ftM_sl29_ll48_pl0_dm128_nh8_el3_dl1_df256_expand2_dc4_fc1_ebtimeF_dtTrue_Exp_04ddc893cf98da71cf5ff980aa5fd3166090e3b3e0a487bfbef2ce0035a9245d2"/>
    <s v="None"/>
    <n v="29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fb892d822f884dcdb3517e20908683f9', 'MLFLOW_TRACKING_USERNAME': 'sunwu', 'MLFLOW_TRACKING_PASSWORD': 'sunwu520yxq.....', 'MLFLOW_TRACKING_URI': 'https://mlflow.gwusun.top', 'MLFLOW_EXPERIMENT_ID': '32', 'KMP_DUPLICATE_LIB_OK': 'True', 'KMP_INIT_AT_FORK': 'FALSE', 'TRAIN_START': '1778993916079832646', 'TORCHINDUCTOR_CACHE_DIR': '/tmp/torchinductor_root', 'TRAIN_END': '1778994419405889196', 'TEST_START': '1778994419405976728', 'TEST_END': '1778994433120887421'}"/>
    <n v="7"/>
    <s v="[128, 128]"/>
    <n v="0"/>
    <s v="JapaneseVowels"/>
    <s v="moving_avg"/>
    <s v="4ddc893cf98da71cf5ff980aa5fd3166090e3b3e0a487bfbef2ce0035a9245d2"/>
    <n v="12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JapaneseVowels_TimesNet_UEA_ftM_sl29_ll48_pl0_dm128_nh8_el3_dl1_df256_expand2_dc4_fc1_ebtimeF_dtTrue_Exp_04ddc893cf98da71cf5ff980aa5fd3166090e3b3e0a487bfbef2ce0035a9245d2"/>
    <s v="run.py"/>
    <s v="sunwu"/>
    <x v="5"/>
    <x v="55"/>
  </r>
  <r>
    <s v="7e4105aff48f4a38a9b024568492dd90"/>
    <n v="32"/>
    <s v="FINISHED"/>
    <s v="mlflow-artifacts:/32/7e4105aff48f4a38a9b024568492dd90/artifacts"/>
    <s v="2026-05-17 04:57:20.785000+00:00"/>
    <s v="2026-05-17 04:57:24.275000+00:00"/>
    <n v="1.7789938025058801E+18"/>
    <n v="0.76964113466800499"/>
    <n v="0.75283522789978996"/>
    <n v="6.140793983"/>
    <n v="0.76964113466800499"/>
    <n v="1.7789938025058199E+18"/>
    <n v="0.78048780487804803"/>
    <n v="1.77899384030493E+18"/>
    <n v="1.77899328780049E+18"/>
    <n v="422.09301323199998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eartbeat/ --model_id Heartbeat --model TimesNet --data UEA --e_layers 3 --batch_size 32 --d_model 128 --d_ff 256 --top_k 3 --des Exp --itr 1 --learning_rate 0.001 --train_epochs 1000 --patience 10 --seed 2026 --id f0e61f4a20bee4c832dce91e62277ddd48688ad7eff357e222431b6c940521b6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2026"/>
    <n v="1"/>
    <n v="16"/>
    <s v="./dataset/Heartbeat/"/>
    <s v="Monthly"/>
    <n v="10"/>
    <b v="0"/>
    <s v="classification"/>
    <s v="f0e61f4a20bee4c832dce91e62277ddd48688ad7eff357e222431b6c940521b6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eartbeat', model='TimesNet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f0e61f4a20bee4c832dce91e62277ddd48688ad7eff357e222431b6c940521b6', device=device(type='cuda', index=0), num_class=2)"/>
    <x v="1"/>
    <s v="classification_Heartbeat_TimesNet_UEA_ftM_sl405_ll48_pl0_dm128_nh8_el3_dl1_df256_expand2_dc4_fc1_ebtimeF_dtTrue_Exp_0f0e61f4a20bee4c832dce91e62277ddd48688ad7eff357e222431b6c940521b6"/>
    <s v="None"/>
    <n v="405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bc53b19d9fdf493e9ba759d76b4236fe', 'MLFLOW_TRACKING_USERNAME': 'sunwu', 'MLFLOW_TRACKING_PASSWORD': 'sunwu520yxq.....', 'MLFLOW_TRACKING_URI': 'https://mlflow.gwusun.top', 'MLFLOW_EXPERIMENT_ID': '32', 'KMP_DUPLICATE_LIB_OK': 'True', 'KMP_INIT_AT_FORK': 'FALSE', 'TRAIN_START': '1778993287800498487', 'TORCHINDUCTOR_CACHE_DIR': '/tmp/torchinductor_root', 'TRAIN_END': '1778993802505820186', 'TEST_START': '1778993802505885857', 'TEST_END': '1778993840304932197'}"/>
    <n v="7"/>
    <s v="[128, 128]"/>
    <n v="0"/>
    <s v="Heartbeat"/>
    <s v="moving_avg"/>
    <s v="f0e61f4a20bee4c832dce91e62277ddd48688ad7eff357e222431b6c940521b6"/>
    <n v="61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eartbeat_TimesNet_UEA_ftM_sl405_ll48_pl0_dm128_nh8_el3_dl1_df256_expand2_dc4_fc1_ebtimeF_dtTrue_Exp_0f0e61f4a20bee4c832dce91e62277ddd48688ad7eff357e222431b6c940521b6"/>
    <s v="run.py"/>
    <s v="sunwu"/>
    <x v="6"/>
    <x v="56"/>
  </r>
  <r>
    <s v="136cf21a88c74f99964368dd1297f23f"/>
    <n v="32"/>
    <s v="FINISHED"/>
    <s v="mlflow-artifacts:/32/136cf21a88c74f99964368dd1297f23f/artifacts"/>
    <s v="2026-05-17 04:41:00.183000+00:00"/>
    <s v="2026-05-17 04:41:03.400000+00:00"/>
    <n v="1.7789928525697201E+18"/>
    <n v="0.39045914450924102"/>
    <n v="0.30893656736018099"/>
    <n v="6.7402474779999997"/>
    <n v="0.39045914450924102"/>
    <n v="1.7789928525696799E+18"/>
    <n v="0.32941176470588202"/>
    <n v="1.77899286013309E+18"/>
    <n v="1.7789923232370299E+18"/>
    <n v="526.13962429900005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andwriting/ --model_id Handwriting --model TimesNet --data UEA --e_layers 3 --batch_size 32 --d_model 128 --d_ff 256 --top_k 3 --des Exp --itr 1 --learning_rate 0.001 --train_epochs 1000 --patience 10 --seed 2026 --id 85444707b98c8a80087188c93f29929ff4c7122e4bdf4e292ff8b86740f8681a"/>
    <n v="1"/>
    <b v="0"/>
    <b v="0"/>
    <s v="M"/>
    <n v="3"/>
    <b v="0"/>
    <n v="26"/>
    <n v="0"/>
    <n v="0"/>
    <b v="0"/>
    <n v="1E-3"/>
    <n v="256"/>
    <b v="1"/>
    <n v="1"/>
    <n v="3"/>
    <n v="0.1"/>
    <n v="0.1"/>
    <b v="0"/>
    <n v="32"/>
    <n v="2026"/>
    <n v="1"/>
    <n v="16"/>
    <s v="./dataset/Handwriting/"/>
    <s v="Monthly"/>
    <n v="10"/>
    <b v="0"/>
    <s v="classification"/>
    <s v="85444707b98c8a80087188c93f29929ff4c7122e4bdf4e292ff8b86740f8681a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andwriting', model='TimesNet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85444707b98c8a80087188c93f29929ff4c7122e4bdf4e292ff8b86740f8681a', device=device(type='cuda', index=0), num_class=26)"/>
    <x v="1"/>
    <s v="classification_Handwriting_TimesNet_UEA_ftM_sl152_ll48_pl0_dm128_nh8_el3_dl1_df256_expand2_dc4_fc1_ebtimeF_dtTrue_Exp_085444707b98c8a80087188c93f29929ff4c7122e4bdf4e292ff8b86740f8681a"/>
    <s v="None"/>
    <n v="15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b83c3b15f4294bc78cff8b8fc2302348', 'MLFLOW_TRACKING_USERNAME': 'sunwu', 'MLFLOW_TRACKING_PASSWORD': 'sunwu520yxq.....', 'MLFLOW_TRACKING_URI': 'https://mlflow.gwusun.top', 'MLFLOW_EXPERIMENT_ID': '32', 'KMP_DUPLICATE_LIB_OK': 'True', 'KMP_INIT_AT_FORK': 'FALSE', 'TRAIN_START': '1778992323237037084', 'TORCHINDUCTOR_CACHE_DIR': '/tmp/torchinductor_root', 'TRAIN_END': '1778992852569682373', 'TEST_START': '1778992852569729059', 'TEST_END': '1778992860133090484'}"/>
    <n v="7"/>
    <s v="[128, 128]"/>
    <n v="0"/>
    <s v="Handwriting"/>
    <s v="moving_avg"/>
    <s v="85444707b98c8a80087188c93f29929ff4c7122e4bdf4e292ff8b86740f8681a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andwriting_TimesNet_UEA_ftM_sl152_ll48_pl0_dm128_nh8_el3_dl1_df256_expand2_dc4_fc1_ebtimeF_dtTrue_Exp_085444707b98c8a80087188c93f29929ff4c7122e4bdf4e292ff8b86740f8681a"/>
    <s v="run.py"/>
    <s v="sunwu"/>
    <x v="7"/>
    <x v="57"/>
  </r>
  <r>
    <s v="6c53089fe7c64edfa8555027714aad56"/>
    <n v="32"/>
    <s v="FINISHED"/>
    <s v="mlflow-artifacts:/32/6c53089fe7c64edfa8555027714aad56/artifacts"/>
    <s v="2026-05-17 04:31:08.408000+00:00"/>
    <s v="2026-05-17 04:31:17.730000+00:00"/>
    <n v="1.77899225968242E+18"/>
    <n v="0.236962345474511"/>
    <n v="0.217966292744216"/>
    <n v="8.1041886999999999"/>
    <n v="0.236962345474511"/>
    <n v="1.77899225968237E+18"/>
    <n v="0.29657794676805999"/>
    <n v="1.7789922683415099E+18"/>
    <n v="1.77899167806097E+18"/>
    <n v="578.80939154500004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EthanolConcentration/ --model_id EthanolConcentration --model TimesNet --data UEA --e_layers 3 --batch_size 32 --d_model 128 --d_ff 256 --top_k 3 --des Exp --itr 1 --learning_rate 0.001 --train_epochs 1000 --patience 10 --seed 2026 --id d932f20d8991b40e3cfe7697af57ae37843a84b760bdbc416aeece614287e172"/>
    <n v="1"/>
    <b v="0"/>
    <b v="0"/>
    <s v="M"/>
    <n v="3"/>
    <b v="0"/>
    <n v="4"/>
    <n v="0"/>
    <n v="0"/>
    <b v="0"/>
    <n v="1E-3"/>
    <n v="256"/>
    <b v="1"/>
    <n v="1"/>
    <n v="3"/>
    <n v="0.1"/>
    <n v="0.1"/>
    <b v="0"/>
    <n v="32"/>
    <n v="2026"/>
    <n v="1"/>
    <n v="16"/>
    <s v="./dataset/EthanolConcentration/"/>
    <s v="Monthly"/>
    <n v="10"/>
    <b v="0"/>
    <s v="classification"/>
    <s v="d932f20d8991b40e3cfe7697af57ae37843a84b760bdbc416aeece614287e172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EthanolConcentration', model='TimesNet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d932f20d8991b40e3cfe7697af57ae37843a84b760bdbc416aeece614287e172', device=device(type='cuda', index=0), num_class=4)"/>
    <x v="1"/>
    <s v="classification_EthanolConcentration_TimesNet_UEA_ftM_sl1751_ll48_pl0_dm128_nh8_el3_dl1_df256_expand2_dc4_fc1_ebtimeF_dtTrue_Exp_0d932f20d8991b40e3cfe7697af57ae37843a84b760bdbc416aeece614287e172"/>
    <s v="None"/>
    <n v="1751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ab3d5264407b421f8e60973130486da4', 'MLFLOW_TRACKING_USERNAME': 'sunwu', 'MLFLOW_TRACKING_PASSWORD': 'sunwu520yxq.....', 'MLFLOW_TRACKING_URI': 'https://mlflow.gwusun.top', 'MLFLOW_EXPERIMENT_ID': '32', 'KMP_DUPLICATE_LIB_OK': 'True', 'KMP_INIT_AT_FORK': 'FALSE', 'TRAIN_START': '1778991678060972197', 'TORCHINDUCTOR_CACHE_DIR': '/tmp/torchinductor_root', 'TRAIN_END': '1778992259682379864', 'TEST_START': '1778992259682424720', 'TEST_END': '1778992268341517146'}"/>
    <n v="7"/>
    <s v="[128, 128]"/>
    <n v="0"/>
    <s v="EthanolConcentration"/>
    <s v="moving_avg"/>
    <s v="d932f20d8991b40e3cfe7697af57ae37843a84b760bdbc416aeece614287e172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EthanolConcentration_TimesNet_UEA_ftM_sl1751_ll48_pl0_dm128_nh8_el3_dl1_df256_expand2_dc4_fc1_ebtimeF_dtTrue_Exp_0d932f20d8991b40e3cfe7697af57ae37843a84b760bdbc416aeece614287e172"/>
    <s v="run.py"/>
    <s v="sunwu"/>
    <x v="8"/>
    <x v="58"/>
  </r>
  <r>
    <s v="96d890c1b5d84e8a923a732db4bc16c9"/>
    <n v="32"/>
    <s v="FINISHED"/>
    <s v="mlflow-artifacts:/32/96d890c1b5d84e8a923a732db4bc16c9/artifacts"/>
    <s v="2026-05-17 04:22:10.717000+00:00"/>
    <s v="2026-05-17 04:22:13.880000+00:00"/>
    <n v="1.7789916742811599E+18"/>
    <n v="0.84235953006868702"/>
    <n v="0.82290495662469798"/>
    <n v="1.7000309060000001"/>
    <n v="0.84235953006868702"/>
    <n v="1.7789916742810801E+18"/>
    <n v="0.82658959537572196"/>
    <n v="1.77899173066238E+18"/>
    <n v="1.778990981308E+18"/>
    <n v="196.090334746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PEMS-SF/ --model_id PEMS-SF --model TimesNet --data UEA --e_layers 3 --batch_size 32 --d_model 128 --d_ff 256 --top_k 3 --des Exp --itr 1 --learning_rate 0.001 --train_epochs 1000 --patience 10 --seed 1234 --id 3ce059f49eaeb73b2446a19e80f2b2a20a0dccc56568e916cf8a30168661d409"/>
    <n v="1"/>
    <b v="0"/>
    <b v="0"/>
    <s v="M"/>
    <n v="3"/>
    <b v="0"/>
    <n v="7"/>
    <n v="0"/>
    <n v="0"/>
    <b v="0"/>
    <n v="1E-3"/>
    <n v="256"/>
    <b v="1"/>
    <n v="1"/>
    <n v="3"/>
    <n v="0.1"/>
    <n v="0.1"/>
    <b v="0"/>
    <n v="32"/>
    <n v="1234"/>
    <n v="1"/>
    <n v="16"/>
    <s v="./dataset/PEMS-SF/"/>
    <s v="Monthly"/>
    <n v="10"/>
    <b v="0"/>
    <s v="classification"/>
    <s v="3ce059f49eaeb73b2446a19e80f2b2a20a0dccc56568e916cf8a30168661d409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PEMS-SF', model='TimesNet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3ce059f49eaeb73b2446a19e80f2b2a20a0dccc56568e916cf8a30168661d409', device=device(type='cuda', index=0), num_class=7)"/>
    <x v="1"/>
    <s v="classification_PEMS-SF_TimesNet_UEA_ftM_sl144_ll48_pl0_dm128_nh8_el3_dl1_df256_expand2_dc4_fc1_ebtimeF_dtTrue_Exp_03ce059f49eaeb73b2446a19e80f2b2a20a0dccc56568e916cf8a30168661d409"/>
    <s v="None"/>
    <n v="144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86c36b225da44bd1afc024ce79aab766', 'MLFLOW_TRACKING_USERNAME': 'sunwu', 'MLFLOW_TRACKING_PASSWORD': 'sunwu520yxq.....', 'MLFLOW_TRACKING_URI': 'https://mlflow.gwusun.top', 'MLFLOW_EXPERIMENT_ID': '32', 'KMP_DUPLICATE_LIB_OK': 'True', 'KMP_INIT_AT_FORK': 'FALSE', 'TRAIN_START': '1778990981307999976', 'TORCHINDUCTOR_CACHE_DIR': '/tmp/torchinductor_root', 'TRAIN_END': '1778991674281087339', 'TEST_START': '1778991674281165237', 'TEST_END': '1778991730662381279'}"/>
    <n v="7"/>
    <s v="[128, 128]"/>
    <n v="0"/>
    <s v="PEMS-SF"/>
    <s v="moving_avg"/>
    <s v="3ce059f49eaeb73b2446a19e80f2b2a20a0dccc56568e916cf8a30168661d409"/>
    <n v="96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PEMS-SF_TimesNet_UEA_ftM_sl144_ll48_pl0_dm128_nh8_el3_dl1_df256_expand2_dc4_fc1_ebtimeF_dtTrue_Exp_03ce059f49eaeb73b2446a19e80f2b2a20a0dccc56568e916cf8a30168661d409"/>
    <s v="run.py"/>
    <s v="sunwu"/>
    <x v="0"/>
    <x v="59"/>
  </r>
  <r>
    <s v="312692fa9fa544349e807c4f60fa6ae1"/>
    <n v="32"/>
    <s v="FINISHED"/>
    <s v="mlflow-artifacts:/32/312692fa9fa544349e807c4f60fa6ae1/artifacts"/>
    <s v="2026-05-17 04:20:59.402000+00:00"/>
    <s v="2026-05-17 04:21:02.538000+00:00"/>
    <n v="1.7789916547099699E+18"/>
    <n v="0.87420028714533304"/>
    <n v="0.87145788279217196"/>
    <n v="4.2738637190000004"/>
    <n v="0.87420028714533304"/>
    <n v="1.77899165470993E+18"/>
    <n v="0.87187499999999996"/>
    <n v="1.7789916593449001E+18"/>
    <n v="1.7789914397088599E+18"/>
    <n v="213.026746164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UWaveGestureLibrary/ --model_id UWaveGestureLibrary --model TimesNet --data UEA --e_layers 3 --batch_size 32 --d_model 128 --d_ff 256 --top_k 3 --des Exp --itr 1 --learning_rate 0.001 --train_epochs 1000 --patience 10 --seed 2026 --id 038be815ceddaf294de43f8369877e6a9ab290328014583db36d2af958beba1e"/>
    <n v="1"/>
    <b v="0"/>
    <b v="0"/>
    <s v="M"/>
    <n v="3"/>
    <b v="0"/>
    <n v="8"/>
    <n v="0"/>
    <n v="0"/>
    <b v="0"/>
    <n v="1E-3"/>
    <n v="256"/>
    <b v="1"/>
    <n v="1"/>
    <n v="3"/>
    <n v="0.1"/>
    <n v="0.1"/>
    <b v="0"/>
    <n v="32"/>
    <n v="2026"/>
    <n v="1"/>
    <n v="16"/>
    <s v="./dataset/UWaveGestureLibrary/"/>
    <s v="Monthly"/>
    <n v="10"/>
    <b v="0"/>
    <s v="classification"/>
    <s v="038be815ceddaf294de43f8369877e6a9ab290328014583db36d2af958beba1e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UWaveGestureLibrary', model='TimesNet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038be815ceddaf294de43f8369877e6a9ab290328014583db36d2af958beba1e', device=device(type='cuda', index=0), num_class=8)"/>
    <x v="1"/>
    <s v="classification_UWaveGestureLibrary_TimesNet_UEA_ftM_sl315_ll48_pl0_dm128_nh8_el3_dl1_df256_expand2_dc4_fc1_ebtimeF_dtTrue_Exp_0038be815ceddaf294de43f8369877e6a9ab290328014583db36d2af958beba1e"/>
    <s v="None"/>
    <n v="315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ef5953746e6340bea2a009fdc426bf7a', 'MLFLOW_TRACKING_USERNAME': 'sunwu', 'MLFLOW_TRACKING_PASSWORD': 'sunwu520yxq.....', 'MLFLOW_TRACKING_URI': 'https://mlflow.gwusun.top', 'MLFLOW_EXPERIMENT_ID': '32', 'KMP_DUPLICATE_LIB_OK': 'True', 'KMP_INIT_AT_FORK': 'FALSE', 'TRAIN_START': '1778991439708862003', 'TORCHINDUCTOR_CACHE_DIR': '/tmp/torchinductor_root', 'TRAIN_END': '1778991654709933342', 'TEST_START': '1778991654709978727', 'TEST_END': '1778991659344907612'}"/>
    <n v="7"/>
    <s v="[128, 128]"/>
    <n v="0"/>
    <s v="UWaveGestureLibrary"/>
    <s v="moving_avg"/>
    <s v="038be815ceddaf294de43f8369877e6a9ab290328014583db36d2af958beba1e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UWaveGestureLibrary_TimesNet_UEA_ftM_sl315_ll48_pl0_dm128_nh8_el3_dl1_df256_expand2_dc4_fc1_ebtimeF_dtTrue_Exp_0038be815ceddaf294de43f8369877e6a9ab290328014583db36d2af958beba1e"/>
    <s v="run.py"/>
    <s v="sunwu"/>
    <x v="9"/>
    <x v="60"/>
  </r>
  <r>
    <s v="fac4349c33f74250afa536ac42e9764e"/>
    <n v="32"/>
    <s v="FINISHED"/>
    <s v="mlflow-artifacts:/32/fac4349c33f74250afa536ac42e9764e/artifacts"/>
    <s v="2026-05-17 04:17:00.893000+00:00"/>
    <s v="2026-05-17 04:17:07.289000+00:00"/>
    <n v="1.7789914041880901E+18"/>
    <n v="0.98800976715334399"/>
    <n v="0.98770162241575998"/>
    <n v="11.713285727000001"/>
    <n v="0.98800976715334399"/>
    <n v="1.77899140418803E+18"/>
    <n v="0.98772169167803503"/>
    <n v="1.7789914208249001E+18"/>
    <n v="1.7789886880937001E+18"/>
    <n v="2449.5730404239998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pokenArabicDigits/ --model_id SpokenArabicDigits --model TimesNet --data UEA --e_layers 3 --batch_size 32 --d_model 128 --d_ff 256 --top_k 3 --des Exp --itr 1 --learning_rate 0.001 --train_epochs 1000 --patience 10 --seed 1234 --id 0326566ee9920866917a42b6a31d702b8f1549b259c661f988b7e23c5316cb10"/>
    <n v="1"/>
    <b v="0"/>
    <b v="0"/>
    <s v="M"/>
    <n v="3"/>
    <b v="0"/>
    <n v="10"/>
    <n v="0"/>
    <n v="0"/>
    <b v="0"/>
    <n v="1E-3"/>
    <n v="256"/>
    <b v="1"/>
    <n v="1"/>
    <n v="3"/>
    <n v="0.1"/>
    <n v="0.1"/>
    <b v="0"/>
    <n v="32"/>
    <n v="1234"/>
    <n v="1"/>
    <n v="16"/>
    <s v="./dataset/SpokenArabicDigits/"/>
    <s v="Monthly"/>
    <n v="10"/>
    <b v="0"/>
    <s v="classification"/>
    <s v="0326566ee9920866917a42b6a31d702b8f1549b259c661f988b7e23c5316cb10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pokenArabicDigits', model='TimesNet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0326566ee9920866917a42b6a31d702b8f1549b259c661f988b7e23c5316cb10', device=device(type='cuda', index=0), num_class=10)"/>
    <x v="1"/>
    <s v="classification_SpokenArabicDigits_TimesNet_UEA_ftM_sl93_ll48_pl0_dm128_nh8_el3_dl1_df256_expand2_dc4_fc1_ebtimeF_dtTrue_Exp_00326566ee9920866917a42b6a31d702b8f1549b259c661f988b7e23c5316cb10"/>
    <s v="None"/>
    <n v="93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f089c3ae65c4d4f975cbf515d0750a0', 'MLFLOW_TRACKING_USERNAME': 'sunwu', 'MLFLOW_TRACKING_PASSWORD': 'sunwu520yxq.....', 'MLFLOW_TRACKING_URI': 'https://mlflow.gwusun.top', 'MLFLOW_EXPERIMENT_ID': '32', 'KMP_DUPLICATE_LIB_OK': 'True', 'KMP_INIT_AT_FORK': 'FALSE', 'TRAIN_START': '1778988688093702974', 'TORCHINDUCTOR_CACHE_DIR': '/tmp/torchinductor_root', 'TRAIN_END': '1778991404188031883', 'TEST_START': '1778991404188093084', 'TEST_END': '1778991420824903192'}"/>
    <n v="7"/>
    <s v="[128, 128]"/>
    <n v="0"/>
    <s v="SpokenArabicDigits"/>
    <s v="moving_avg"/>
    <s v="0326566ee9920866917a42b6a31d702b8f1549b259c661f988b7e23c5316cb10"/>
    <n v="1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pokenArabicDigits_TimesNet_UEA_ftM_sl93_ll48_pl0_dm128_nh8_el3_dl1_df256_expand2_dc4_fc1_ebtimeF_dtTrue_Exp_00326566ee9920866917a42b6a31d702b8f1549b259c661f988b7e23c5316cb10"/>
    <s v="run.py"/>
    <s v="sunwu"/>
    <x v="1"/>
    <x v="61"/>
  </r>
  <r>
    <s v="e6ecd4f01598424997477cb52720c3db"/>
    <n v="32"/>
    <s v="FINISHED"/>
    <s v="mlflow-artifacts:/32/e6ecd4f01598424997477cb52720c3db/artifacts"/>
    <s v="2026-05-17 03:45:40.289000+00:00"/>
    <s v="2026-05-17 03:45:43.680000+00:00"/>
    <n v="1.7789889394393001E+18"/>
    <n v="0.65859534517123497"/>
    <n v="0.65689446458960399"/>
    <n v="44.355123313999997"/>
    <n v="0.65859534517123497"/>
    <n v="1.77898893943922E+18"/>
    <n v="0.65749148694665105"/>
    <n v="1.7789895397996201E+18"/>
    <n v="1.7789862982827699E+18"/>
    <n v="1951.512585977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FaceDetection/ --model_id FaceDetection --model TimesNet --data UEA --e_layers 3 --batch_size 32 --d_model 128 --d_ff 256 --top_k 3 --des Exp --itr 1 --learning_rate 0.001 --train_epochs 1000 --patience 10 --seed 1234 --id f67ee9d20bae9a762a8d14ad9450a1113f981f9c3fc021c08c66646aee50cb7f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4"/>
    <n v="1"/>
    <n v="16"/>
    <s v="./dataset/FaceDetection/"/>
    <s v="Monthly"/>
    <n v="10"/>
    <b v="0"/>
    <s v="classification"/>
    <s v="f67ee9d20bae9a762a8d14ad9450a1113f981f9c3fc021c08c66646aee50cb7f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FaceDetection', model='TimesNet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f67ee9d20bae9a762a8d14ad9450a1113f981f9c3fc021c08c66646aee50cb7f', device=device(type='cuda', index=0), num_class=2)"/>
    <x v="1"/>
    <s v="classification_FaceDetection_TimesNet_UEA_ftM_sl62_ll48_pl0_dm128_nh8_el3_dl1_df256_expand2_dc4_fc1_ebtimeF_dtTrue_Exp_0f67ee9d20bae9a762a8d14ad9450a1113f981f9c3fc021c08c66646aee50cb7f"/>
    <s v="None"/>
    <n v="6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a2234451f6d942b594a0eff124389a01', 'MLFLOW_TRACKING_USERNAME': 'sunwu', 'MLFLOW_TRACKING_PASSWORD': 'sunwu520yxq.....', 'MLFLOW_TRACKING_URI': 'https://mlflow.gwusun.top', 'MLFLOW_EXPERIMENT_ID': '32', 'KMP_DUPLICATE_LIB_OK': 'True', 'KMP_INIT_AT_FORK': 'FALSE', 'TRAIN_START': '1778986298282776256', 'TORCHINDUCTOR_CACHE_DIR': '/tmp/torchinductor_root', 'TRAIN_END': '1778988939439227188', 'TEST_START': '1778988939439304105', 'TEST_END': '1778989539799629898'}"/>
    <n v="7"/>
    <s v="[128, 128]"/>
    <n v="0"/>
    <s v="FaceDetection"/>
    <s v="moving_avg"/>
    <s v="f67ee9d20bae9a762a8d14ad9450a1113f981f9c3fc021c08c66646aee50cb7f"/>
    <n v="144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FaceDetection_TimesNet_UEA_ftM_sl62_ll48_pl0_dm128_nh8_el3_dl1_df256_expand2_dc4_fc1_ebtimeF_dtTrue_Exp_0f67ee9d20bae9a762a8d14ad9450a1113f981f9c3fc021c08c66646aee50cb7f"/>
    <s v="run.py"/>
    <s v="sunwu"/>
    <x v="2"/>
    <x v="62"/>
  </r>
  <r>
    <s v="4e4f8bcd9ad74d1492e328aa7ee4ac15"/>
    <n v="32"/>
    <s v="FINISHED"/>
    <s v="mlflow-artifacts:/32/4e4f8bcd9ad74d1492e328aa7ee4ac15/artifacts"/>
    <s v="2026-05-17 03:27:05.103000+00:00"/>
    <s v="2026-05-17 03:27:09.569000+00:00"/>
    <n v="1.77898841269263E+18"/>
    <n v="0.56111865662427396"/>
    <n v="0.561097564739652"/>
    <n v="5.3309711130000004"/>
    <n v="0.56111865662427396"/>
    <n v="1.77898841269247E+18"/>
    <n v="0.56111111111111101"/>
    <n v="1.7789884239189299E+18"/>
    <n v="1.77898811260418E+18"/>
    <n v="273.7774490240000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2/ --model_id SelfRegulationSCP2 --model TimesNet --data UEA --e_layers 3 --batch_size 32 --d_model 128 --d_ff 256 --top_k 3 --des Exp --itr 1 --learning_rate 0.001 --train_epochs 1000 --patience 10 --seed 1234 --id 8faefdc5df889c66e7f5d18903cc6c72446fb1e57f83772883dda8c7943226e6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4"/>
    <n v="1"/>
    <n v="16"/>
    <s v="./dataset/SelfRegulationSCP2/"/>
    <s v="Monthly"/>
    <n v="10"/>
    <b v="0"/>
    <s v="classification"/>
    <s v="8faefdc5df889c66e7f5d18903cc6c72446fb1e57f83772883dda8c7943226e6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2', model='TimesNet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8faefdc5df889c66e7f5d18903cc6c72446fb1e57f83772883dda8c7943226e6', device=device(type='cuda', index=0), num_class=2)"/>
    <x v="1"/>
    <s v="classification_SelfRegulationSCP2_TimesNet_UEA_ftM_sl1152_ll48_pl0_dm128_nh8_el3_dl1_df256_expand2_dc4_fc1_ebtimeF_dtTrue_Exp_08faefdc5df889c66e7f5d18903cc6c72446fb1e57f83772883dda8c7943226e6"/>
    <s v="None"/>
    <n v="115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834a5bfa77941f7b36acf831b58efa9', 'MLFLOW_TRACKING_USERNAME': 'sunwu', 'MLFLOW_TRACKING_PASSWORD': 'sunwu520yxq.....', 'MLFLOW_TRACKING_URI': 'https://mlflow.gwusun.top', 'MLFLOW_EXPERIMENT_ID': '32', 'KMP_DUPLICATE_LIB_OK': 'True', 'KMP_INIT_AT_FORK': 'FALSE', 'TRAIN_START': '1778988112604185087', 'TORCHINDUCTOR_CACHE_DIR': '/tmp/torchinductor_root', 'TRAIN_END': '1778988412692475827', 'TEST_START': '1778988412692637820', 'TEST_END': '1778988423918934977'}"/>
    <n v="7"/>
    <s v="[128, 128]"/>
    <n v="0"/>
    <s v="SelfRegulationSCP2"/>
    <s v="moving_avg"/>
    <s v="8faefdc5df889c66e7f5d18903cc6c72446fb1e57f83772883dda8c7943226e6"/>
    <n v="7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2_TimesNet_UEA_ftM_sl1152_ll48_pl0_dm128_nh8_el3_dl1_df256_expand2_dc4_fc1_ebtimeF_dtTrue_Exp_08faefdc5df889c66e7f5d18903cc6c72446fb1e57f83772883dda8c7943226e6"/>
    <s v="run.py"/>
    <s v="sunwu"/>
    <x v="3"/>
    <x v="63"/>
  </r>
  <r>
    <s v="368a880e4a3e4cd59b906f2b4fce69af"/>
    <n v="32"/>
    <s v="FINISHED"/>
    <s v="mlflow-artifacts:/32/368a880e4a3e4cd59b906f2b4fce69af/artifacts"/>
    <s v="2026-05-17 03:20:05.486000+00:00"/>
    <s v="2026-05-17 03:20:11.279000+00:00"/>
    <n v="1.77898798789761E+18"/>
    <n v="0.91700612350372501"/>
    <n v="0.914544354364214"/>
    <n v="7.8032428090000003"/>
    <n v="0.91700612350372501"/>
    <n v="1.7789879878975201E+18"/>
    <n v="0.91467576791808802"/>
    <n v="1.7789880049890401E+18"/>
    <n v="1.77898728958126E+18"/>
    <n v="668.68708756800004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1/ --model_id SelfRegulationSCP1 --model TimesNet --data UEA --e_layers 3 --batch_size 32 --d_model 128 --d_ff 256 --top_k 3 --des Exp --itr 1 --learning_rate 0.001 --train_epochs 1000 --patience 10 --seed 1234 --id 938b2e9ed45c59051f2a91439d1b9363a62c7583e8258fd91a918fec5b93e82d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4"/>
    <n v="1"/>
    <n v="16"/>
    <s v="./dataset/SelfRegulationSCP1/"/>
    <s v="Monthly"/>
    <n v="10"/>
    <b v="0"/>
    <s v="classification"/>
    <s v="938b2e9ed45c59051f2a91439d1b9363a62c7583e8258fd91a918fec5b93e82d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1', model='TimesNet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938b2e9ed45c59051f2a91439d1b9363a62c7583e8258fd91a918fec5b93e82d', device=device(type='cuda', index=0), num_class=2)"/>
    <x v="1"/>
    <s v="classification_SelfRegulationSCP1_TimesNet_UEA_ftM_sl896_ll48_pl0_dm128_nh8_el3_dl1_df256_expand2_dc4_fc1_ebtimeF_dtTrue_Exp_0938b2e9ed45c59051f2a91439d1b9363a62c7583e8258fd91a918fec5b93e82d"/>
    <s v="None"/>
    <n v="896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d3c8a7d41b4c450c8004b20c81ef3c5a', 'MLFLOW_TRACKING_USERNAME': 'sunwu', 'MLFLOW_TRACKING_PASSWORD': 'sunwu520yxq.....', 'MLFLOW_TRACKING_URI': 'https://mlflow.gwusun.top', 'MLFLOW_EXPERIMENT_ID': '32', 'KMP_DUPLICATE_LIB_OK': 'True', 'KMP_INIT_AT_FORK': 'FALSE', 'TRAIN_START': '1778987289581263380', 'TORCHINDUCTOR_CACHE_DIR': '/tmp/torchinductor_root', 'TRAIN_END': '1778987987897520903', 'TEST_START': '1778987987897610319', 'TEST_END': '1778988004989044772'}"/>
    <n v="7"/>
    <s v="[128, 128]"/>
    <n v="0"/>
    <s v="SelfRegulationSCP1"/>
    <s v="moving_avg"/>
    <s v="938b2e9ed45c59051f2a91439d1b9363a62c7583e8258fd91a918fec5b93e82d"/>
    <n v="6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1_TimesNet_UEA_ftM_sl896_ll48_pl0_dm128_nh8_el3_dl1_df256_expand2_dc4_fc1_ebtimeF_dtTrue_Exp_0938b2e9ed45c59051f2a91439d1b9363a62c7583e8258fd91a918fec5b93e82d"/>
    <s v="run.py"/>
    <s v="sunwu"/>
    <x v="4"/>
    <x v="64"/>
  </r>
  <r>
    <s v="e0d894c49b4b4938986d9379566858c1"/>
    <n v="32"/>
    <s v="FINISHED"/>
    <s v="mlflow-artifacts:/32/e0d894c49b4b4938986d9379566858c1/artifacts"/>
    <s v="2026-05-17 03:06:37.688000+00:00"/>
    <s v="2026-05-17 03:06:41.494000+00:00"/>
    <n v="1.7789871868953101E+18"/>
    <n v="0.96872428291275603"/>
    <n v="0.96765940677021101"/>
    <n v="6.2056973280000003"/>
    <n v="0.96872428291275603"/>
    <n v="1.77898718689521E+18"/>
    <n v="0.96756756756756701"/>
    <n v="1.7789871972887199E+18"/>
    <n v="1.7789867197239401E+18"/>
    <n v="463.39941329099997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JapaneseVowels/ --model_id JapaneseVowels --model TimesNet --data UEA --e_layers 3 --batch_size 32 --d_model 128 --d_ff 256 --top_k 3 --des Exp --itr 1 --learning_rate 0.001 --train_epochs 1000 --patience 10 --seed 1234 --id 33570f8af6c99159cecf8edf3e3b872df546f3f38921cf2b1357899241ce9e7e"/>
    <n v="1"/>
    <b v="0"/>
    <b v="0"/>
    <s v="M"/>
    <n v="3"/>
    <b v="0"/>
    <n v="9"/>
    <n v="0"/>
    <n v="0"/>
    <b v="0"/>
    <n v="1E-3"/>
    <n v="256"/>
    <b v="1"/>
    <n v="1"/>
    <n v="3"/>
    <n v="0.1"/>
    <n v="0.1"/>
    <b v="0"/>
    <n v="32"/>
    <n v="1234"/>
    <n v="1"/>
    <n v="16"/>
    <s v="./dataset/JapaneseVowels/"/>
    <s v="Monthly"/>
    <n v="10"/>
    <b v="0"/>
    <s v="classification"/>
    <s v="33570f8af6c99159cecf8edf3e3b872df546f3f38921cf2b1357899241ce9e7e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JapaneseVowels', model='TimesNet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33570f8af6c99159cecf8edf3e3b872df546f3f38921cf2b1357899241ce9e7e', device=device(type='cuda', index=0), num_class=9)"/>
    <x v="1"/>
    <s v="classification_JapaneseVowels_TimesNet_UEA_ftM_sl29_ll48_pl0_dm128_nh8_el3_dl1_df256_expand2_dc4_fc1_ebtimeF_dtTrue_Exp_033570f8af6c99159cecf8edf3e3b872df546f3f38921cf2b1357899241ce9e7e"/>
    <s v="None"/>
    <n v="29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653299ffe7ec47f2a6355318dea4da3d', 'MLFLOW_TRACKING_USERNAME': 'sunwu', 'MLFLOW_TRACKING_PASSWORD': 'sunwu520yxq.....', 'MLFLOW_TRACKING_URI': 'https://mlflow.gwusun.top', 'MLFLOW_EXPERIMENT_ID': '32', 'KMP_DUPLICATE_LIB_OK': 'True', 'KMP_INIT_AT_FORK': 'FALSE', 'TRAIN_START': '1778986719723949356', 'TORCHINDUCTOR_CACHE_DIR': '/tmp/torchinductor_root', 'TRAIN_END': '1778987186895219614', 'TEST_START': '1778987186895319096', 'TEST_END': '1778987197288722955'}"/>
    <n v="7"/>
    <s v="[128, 128]"/>
    <n v="0"/>
    <s v="JapaneseVowels"/>
    <s v="moving_avg"/>
    <s v="33570f8af6c99159cecf8edf3e3b872df546f3f38921cf2b1357899241ce9e7e"/>
    <n v="12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JapaneseVowels_TimesNet_UEA_ftM_sl29_ll48_pl0_dm128_nh8_el3_dl1_df256_expand2_dc4_fc1_ebtimeF_dtTrue_Exp_033570f8af6c99159cecf8edf3e3b872df546f3f38921cf2b1357899241ce9e7e"/>
    <s v="run.py"/>
    <s v="sunwu"/>
    <x v="5"/>
    <x v="65"/>
  </r>
  <r>
    <s v="49f40cf8186f4997b319d0f232beb4e5"/>
    <n v="32"/>
    <s v="FINISHED"/>
    <s v="mlflow-artifacts:/32/49f40cf8186f4997b319d0f232beb4e5/artifacts"/>
    <s v="2026-05-17 02:58:11.706000+00:00"/>
    <s v="2026-05-17 02:58:19.296000+00:00"/>
    <n v="1.7789866856922099E+18"/>
    <n v="0.70991594905378197"/>
    <n v="0.711341463414634"/>
    <n v="2.8790696969999998"/>
    <n v="0.70991594905378197"/>
    <n v="1.77898668569216E+18"/>
    <n v="0.73658536585365797"/>
    <n v="1.77898669164562E+18"/>
    <n v="1.77898631870657E+18"/>
    <n v="357.76284626299997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eartbeat/ --model_id Heartbeat --model TimesNet --data UEA --e_layers 3 --batch_size 32 --d_model 128 --d_ff 256 --top_k 3 --des Exp --itr 1 --learning_rate 0.001 --train_epochs 1000 --patience 10 --seed 1234 --id e04643b1f0201a8b0f3b5bdf09ef08ee8021850635d644d132eff8336ce050bb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4"/>
    <n v="1"/>
    <n v="16"/>
    <s v="./dataset/Heartbeat/"/>
    <s v="Monthly"/>
    <n v="10"/>
    <b v="0"/>
    <s v="classification"/>
    <s v="e04643b1f0201a8b0f3b5bdf09ef08ee8021850635d644d132eff8336ce050bb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eartbeat', model='TimesNet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e04643b1f0201a8b0f3b5bdf09ef08ee8021850635d644d132eff8336ce050bb', device=device(type='cuda', index=0), num_class=2)"/>
    <x v="1"/>
    <s v="classification_Heartbeat_TimesNet_UEA_ftM_sl405_ll48_pl0_dm128_nh8_el3_dl1_df256_expand2_dc4_fc1_ebtimeF_dtTrue_Exp_0e04643b1f0201a8b0f3b5bdf09ef08ee8021850635d644d132eff8336ce050bb"/>
    <s v="None"/>
    <n v="405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dab26a6223144183bcca7ef4e56ce022', 'MLFLOW_TRACKING_USERNAME': 'sunwu', 'MLFLOW_TRACKING_PASSWORD': 'sunwu520yxq.....', 'MLFLOW_TRACKING_URI': 'https://mlflow.gwusun.top', 'MLFLOW_EXPERIMENT_ID': '32', 'KMP_DUPLICATE_LIB_OK': 'True', 'KMP_INIT_AT_FORK': 'FALSE', 'TRAIN_START': '1778986318706573265', 'TORCHINDUCTOR_CACHE_DIR': '/tmp/torchinductor_root', 'TRAIN_END': '1778986685692168809', 'TEST_START': '1778986685692213131', 'TEST_END': '1778986691645624324'}"/>
    <n v="7"/>
    <s v="[128, 128]"/>
    <n v="0"/>
    <s v="Heartbeat"/>
    <s v="moving_avg"/>
    <s v="e04643b1f0201a8b0f3b5bdf09ef08ee8021850635d644d132eff8336ce050bb"/>
    <n v="61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eartbeat_TimesNet_UEA_ftM_sl405_ll48_pl0_dm128_nh8_el3_dl1_df256_expand2_dc4_fc1_ebtimeF_dtTrue_Exp_0e04643b1f0201a8b0f3b5bdf09ef08ee8021850635d644d132eff8336ce050bb"/>
    <s v="run.py"/>
    <s v="sunwu"/>
    <x v="6"/>
    <x v="66"/>
  </r>
  <r>
    <s v="adeda44b086e490999d0b5fd9d725b9f"/>
    <n v="32"/>
    <s v="FINISHED"/>
    <s v="mlflow-artifacts:/32/adeda44b086e490999d0b5fd9d725b9f/artifacts"/>
    <s v="2026-05-17 02:51:29.887000+00:00"/>
    <s v="2026-05-17 02:51:32.988000+00:00"/>
    <n v="1.77898628199026E+18"/>
    <n v="0.35168520847402601"/>
    <n v="0.29226091283315903"/>
    <n v="6.9521213929999996"/>
    <n v="0.35168520847402601"/>
    <n v="1.77898628199021E+18"/>
    <n v="0.315294117647058"/>
    <n v="1.7789862898339799E+18"/>
    <n v="1.77898568132143E+18"/>
    <n v="598.12421696499996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andwriting/ --model_id Handwriting --model TimesNet --data UEA --e_layers 3 --batch_size 32 --d_model 128 --d_ff 256 --top_k 3 --des Exp --itr 1 --learning_rate 0.001 --train_epochs 1000 --patience 10 --seed 1234 --id 33312f3ff0f44bd61a98396fd6f876494bbc42447f9b5c3660eca10a038ef17c"/>
    <n v="1"/>
    <b v="0"/>
    <b v="0"/>
    <s v="M"/>
    <n v="3"/>
    <b v="0"/>
    <n v="26"/>
    <n v="0"/>
    <n v="0"/>
    <b v="0"/>
    <n v="1E-3"/>
    <n v="256"/>
    <b v="1"/>
    <n v="1"/>
    <n v="3"/>
    <n v="0.1"/>
    <n v="0.1"/>
    <b v="0"/>
    <n v="32"/>
    <n v="1234"/>
    <n v="1"/>
    <n v="16"/>
    <s v="./dataset/Handwriting/"/>
    <s v="Monthly"/>
    <n v="10"/>
    <b v="0"/>
    <s v="classification"/>
    <s v="33312f3ff0f44bd61a98396fd6f876494bbc42447f9b5c3660eca10a038ef17c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andwriting', model='TimesNet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33312f3ff0f44bd61a98396fd6f876494bbc42447f9b5c3660eca10a038ef17c', device=device(type='cuda', index=0), num_class=26)"/>
    <x v="1"/>
    <s v="classification_Handwriting_TimesNet_UEA_ftM_sl152_ll48_pl0_dm128_nh8_el3_dl1_df256_expand2_dc4_fc1_ebtimeF_dtTrue_Exp_033312f3ff0f44bd61a98396fd6f876494bbc42447f9b5c3660eca10a038ef17c"/>
    <s v="None"/>
    <n v="15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114edf951ca3465a83820711bd3af2c4', 'MLFLOW_TRACKING_USERNAME': 'sunwu', 'MLFLOW_TRACKING_PASSWORD': 'sunwu520yxq.....', 'MLFLOW_TRACKING_URI': 'https://mlflow.gwusun.top', 'MLFLOW_EXPERIMENT_ID': '32', 'KMP_DUPLICATE_LIB_OK': 'True', 'KMP_INIT_AT_FORK': 'FALSE', 'TRAIN_START': '1778985681321429899', 'TORCHINDUCTOR_CACHE_DIR': '/tmp/torchinductor_root', 'TRAIN_END': '1778986281990212636', 'TEST_START': '1778986281990269014', 'TEST_END': '1778986289833983344'}"/>
    <n v="7"/>
    <s v="[128, 128]"/>
    <n v="0"/>
    <s v="Handwriting"/>
    <s v="moving_avg"/>
    <s v="33312f3ff0f44bd61a98396fd6f876494bbc42447f9b5c3660eca10a038ef17c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andwriting_TimesNet_UEA_ftM_sl152_ll48_pl0_dm128_nh8_el3_dl1_df256_expand2_dc4_fc1_ebtimeF_dtTrue_Exp_033312f3ff0f44bd61a98396fd6f876494bbc42447f9b5c3660eca10a038ef17c"/>
    <s v="run.py"/>
    <s v="sunwu"/>
    <x v="7"/>
    <x v="67"/>
  </r>
  <r>
    <s v="1c514a4f65e4496d9c77729bc75c9a88"/>
    <n v="32"/>
    <s v="FINISHED"/>
    <s v="mlflow-artifacts:/32/1c514a4f65e4496d9c77729bc75c9a88/artifacts"/>
    <s v="2026-05-17 02:39:00.324000+00:00"/>
    <s v="2026-05-17 02:39:03.559000+00:00"/>
    <n v="1.7789855315402399E+18"/>
    <n v="0.30488943781372402"/>
    <n v="0.29126243814547798"/>
    <n v="8.1603538709999999"/>
    <n v="0.30488943781372402"/>
    <n v="1.7789855315401999E+18"/>
    <n v="0.315589353612167"/>
    <n v="1.77898554026271E+18"/>
    <n v="1.77898492999601E+18"/>
    <n v="590.563785036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EthanolConcentration/ --model_id EthanolConcentration --model TimesNet --data UEA --e_layers 3 --batch_size 32 --d_model 128 --d_ff 256 --top_k 3 --des Exp --itr 1 --learning_rate 0.001 --train_epochs 1000 --patience 10 --seed 1234 --id 2d8a02527e2d6f770579096eee88cfcbc11895df96bcc753f24a866f57a57248"/>
    <n v="1"/>
    <b v="0"/>
    <b v="0"/>
    <s v="M"/>
    <n v="3"/>
    <b v="0"/>
    <n v="4"/>
    <n v="0"/>
    <n v="0"/>
    <b v="0"/>
    <n v="1E-3"/>
    <n v="256"/>
    <b v="1"/>
    <n v="1"/>
    <n v="3"/>
    <n v="0.1"/>
    <n v="0.1"/>
    <b v="0"/>
    <n v="32"/>
    <n v="1234"/>
    <n v="1"/>
    <n v="16"/>
    <s v="./dataset/EthanolConcentration/"/>
    <s v="Monthly"/>
    <n v="10"/>
    <b v="0"/>
    <s v="classification"/>
    <s v="2d8a02527e2d6f770579096eee88cfcbc11895df96bcc753f24a866f57a57248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EthanolConcentration', model='TimesNet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2d8a02527e2d6f770579096eee88cfcbc11895df96bcc753f24a866f57a57248', device=device(type='cuda', index=0), num_class=4)"/>
    <x v="1"/>
    <s v="classification_EthanolConcentration_TimesNet_UEA_ftM_sl1751_ll48_pl0_dm128_nh8_el3_dl1_df256_expand2_dc4_fc1_ebtimeF_dtTrue_Exp_02d8a02527e2d6f770579096eee88cfcbc11895df96bcc753f24a866f57a57248"/>
    <s v="None"/>
    <n v="1751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cc396bc1dba14cd29a9adbc6a8ce87a5', 'MLFLOW_TRACKING_USERNAME': 'sunwu', 'MLFLOW_TRACKING_PASSWORD': 'sunwu520yxq.....', 'MLFLOW_TRACKING_URI': 'https://mlflow.gwusun.top', 'MLFLOW_EXPERIMENT_ID': '32', 'KMP_DUPLICATE_LIB_OK': 'True', 'KMP_INIT_AT_FORK': 'FALSE', 'TRAIN_START': '1778984929996013635', 'TORCHINDUCTOR_CACHE_DIR': '/tmp/torchinductor_root', 'TRAIN_END': '1778985531540205236', 'TEST_START': '1778985531540248636', 'TEST_END': '1778985540262718220'}"/>
    <n v="7"/>
    <s v="[128, 128]"/>
    <n v="0"/>
    <s v="EthanolConcentration"/>
    <s v="moving_avg"/>
    <s v="2d8a02527e2d6f770579096eee88cfcbc11895df96bcc753f24a866f57a57248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EthanolConcentration_TimesNet_UEA_ftM_sl1751_ll48_pl0_dm128_nh8_el3_dl1_df256_expand2_dc4_fc1_ebtimeF_dtTrue_Exp_02d8a02527e2d6f770579096eee88cfcbc11895df96bcc753f24a866f57a57248"/>
    <s v="run.py"/>
    <s v="sunwu"/>
    <x v="8"/>
    <x v="68"/>
  </r>
  <r>
    <s v="e5c98771ba6c4592bf096a4dcc357c65"/>
    <n v="32"/>
    <s v="FINISHED"/>
    <s v="mlflow-artifacts:/32/e5c98771ba6c4592bf096a4dcc357c65/artifacts"/>
    <s v="2026-05-17 02:31:37.698000+00:00"/>
    <s v="2026-05-17 02:31:40.857000+00:00"/>
    <n v="1.77898509155058E+18"/>
    <n v="0.87868162408046502"/>
    <n v="0.86808476261157996"/>
    <n v="5.8090044020000002"/>
    <n v="0.87868162408046502"/>
    <n v="1.7789850915505101E+18"/>
    <n v="0.86875000000000002"/>
    <n v="1.77898509764831E+18"/>
    <n v="1.77898482344355E+18"/>
    <n v="266.14585766699997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UWaveGestureLibrary/ --model_id UWaveGestureLibrary --model TimesNet --data UEA --e_layers 3 --batch_size 32 --d_model 128 --d_ff 256 --top_k 3 --des Exp --itr 1 --learning_rate 0.001 --train_epochs 1000 --patience 10 --seed 1234 --id 17fda4885cc0a14554cd5e0f6d35955ef961b743d9273a39080ce786075c94b8"/>
    <n v="1"/>
    <b v="0"/>
    <b v="0"/>
    <s v="M"/>
    <n v="3"/>
    <b v="0"/>
    <n v="8"/>
    <n v="0"/>
    <n v="0"/>
    <b v="0"/>
    <n v="1E-3"/>
    <n v="256"/>
    <b v="1"/>
    <n v="1"/>
    <n v="3"/>
    <n v="0.1"/>
    <n v="0.1"/>
    <b v="0"/>
    <n v="32"/>
    <n v="1234"/>
    <n v="1"/>
    <n v="16"/>
    <s v="./dataset/UWaveGestureLibrary/"/>
    <s v="Monthly"/>
    <n v="10"/>
    <b v="0"/>
    <s v="classification"/>
    <s v="17fda4885cc0a14554cd5e0f6d35955ef961b743d9273a39080ce786075c94b8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UWaveGestureLibrary', model='TimesNet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17fda4885cc0a14554cd5e0f6d35955ef961b743d9273a39080ce786075c94b8', device=device(type='cuda', index=0), num_class=8)"/>
    <x v="1"/>
    <s v="classification_UWaveGestureLibrary_TimesNet_UEA_ftM_sl315_ll48_pl0_dm128_nh8_el3_dl1_df256_expand2_dc4_fc1_ebtimeF_dtTrue_Exp_017fda4885cc0a14554cd5e0f6d35955ef961b743d9273a39080ce786075c94b8"/>
    <s v="None"/>
    <n v="315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1d4714dcb101483ab2f5997aa3d47025', 'MLFLOW_TRACKING_USERNAME': 'sunwu', 'MLFLOW_TRACKING_PASSWORD': 'sunwu520yxq.....', 'MLFLOW_TRACKING_URI': 'https://mlflow.gwusun.top', 'MLFLOW_EXPERIMENT_ID': '32', 'KMP_DUPLICATE_LIB_OK': 'True', 'KMP_INIT_AT_FORK': 'FALSE', 'TRAIN_START': '1778984823443556045', 'TORCHINDUCTOR_CACHE_DIR': '/tmp/torchinductor_root', 'TRAIN_END': '1778985091550517811', 'TEST_START': '1778985091550582961', 'TEST_END': '1778985097648315678'}"/>
    <n v="7"/>
    <s v="[128, 128]"/>
    <n v="0"/>
    <s v="UWaveGestureLibrary"/>
    <s v="moving_avg"/>
    <s v="17fda4885cc0a14554cd5e0f6d35955ef961b743d9273a39080ce786075c94b8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UWaveGestureLibrary_TimesNet_UEA_ftM_sl315_ll48_pl0_dm128_nh8_el3_dl1_df256_expand2_dc4_fc1_ebtimeF_dtTrue_Exp_017fda4885cc0a14554cd5e0f6d35955ef961b743d9273a39080ce786075c94b8"/>
    <s v="run.py"/>
    <s v="sunwu"/>
    <x v="9"/>
    <x v="69"/>
  </r>
  <r>
    <s v="9237e39fb8454888b7e802ae376981eb"/>
    <n v="32"/>
    <s v="FINISHED"/>
    <s v="mlflow-artifacts:/32/9237e39fb8454888b7e802ae376981eb/artifacts"/>
    <s v="2026-05-17 02:27:54.069000+00:00"/>
    <s v="2026-05-17 02:27:57.480000+00:00"/>
    <n v="1.7789848025043899E+18"/>
    <n v="0.86493904698384405"/>
    <n v="0.84352615907404105"/>
    <n v="2.1014916330000002"/>
    <n v="0.86493904698384405"/>
    <n v="1.7789848025042601E+18"/>
    <n v="0.84393063583814998"/>
    <n v="1.7789848740045599E+18"/>
    <n v="1.77898370728048E+18"/>
    <n v="352.28281896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PEMS-SF/ --model_id PEMS-SF --model TimesNet --data UEA --e_layers 3 --batch_size 32 --d_model 128 --d_ff 256 --top_k 3 --des Exp --itr 1 --learning_rate 0.001 --train_epochs 1000 --patience 10 --seed 123 --id 4bb5131b597e9c23bd819ec209180f619fc75539410b6e3743b1c85e88dd5032"/>
    <n v="1"/>
    <b v="0"/>
    <b v="0"/>
    <s v="M"/>
    <n v="3"/>
    <b v="0"/>
    <n v="7"/>
    <n v="0"/>
    <n v="0"/>
    <b v="0"/>
    <n v="1E-3"/>
    <n v="256"/>
    <b v="1"/>
    <n v="1"/>
    <n v="3"/>
    <n v="0.1"/>
    <n v="0.1"/>
    <b v="0"/>
    <n v="32"/>
    <n v="123"/>
    <n v="1"/>
    <n v="16"/>
    <s v="./dataset/PEMS-SF/"/>
    <s v="Monthly"/>
    <n v="10"/>
    <b v="0"/>
    <s v="classification"/>
    <s v="4bb5131b597e9c23bd819ec209180f619fc75539410b6e3743b1c85e88dd5032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PEMS-SF', model='TimesNet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4bb5131b597e9c23bd819ec209180f619fc75539410b6e3743b1c85e88dd5032', device=device(type='cuda', index=0), num_class=7)"/>
    <x v="1"/>
    <s v="classification_PEMS-SF_TimesNet_UEA_ftM_sl144_ll48_pl0_dm128_nh8_el3_dl1_df256_expand2_dc4_fc1_ebtimeF_dtTrue_Exp_04bb5131b597e9c23bd819ec209180f619fc75539410b6e3743b1c85e88dd5032"/>
    <s v="None"/>
    <n v="144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6245175e139b49b698f2b049e95a42bd', 'MLFLOW_TRACKING_USERNAME': 'sunwu', 'MLFLOW_TRACKING_PASSWORD': 'sunwu520yxq.....', 'MLFLOW_TRACKING_URI': 'https://mlflow.gwusun.top', 'MLFLOW_EXPERIMENT_ID': '32', 'KMP_DUPLICATE_LIB_OK': 'True', 'KMP_INIT_AT_FORK': 'FALSE', 'TRAIN_START': '1778983707280480223', 'TORCHINDUCTOR_CACHE_DIR': '/tmp/torchinductor_root', 'TRAIN_END': '1778984802504266416', 'TEST_START': '1778984802504398233', 'TEST_END': '1778984874004568720'}"/>
    <n v="7"/>
    <s v="[128, 128]"/>
    <n v="0"/>
    <s v="PEMS-SF"/>
    <s v="moving_avg"/>
    <s v="4bb5131b597e9c23bd819ec209180f619fc75539410b6e3743b1c85e88dd5032"/>
    <n v="96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PEMS-SF_TimesNet_UEA_ftM_sl144_ll48_pl0_dm128_nh8_el3_dl1_df256_expand2_dc4_fc1_ebtimeF_dtTrue_Exp_04bb5131b597e9c23bd819ec209180f619fc75539410b6e3743b1c85e88dd5032"/>
    <s v="run.py"/>
    <s v="sunwu"/>
    <x v="0"/>
    <x v="70"/>
  </r>
  <r>
    <s v="b336fd696c6c40c6ae6b238b77541585"/>
    <n v="32"/>
    <s v="FINISHED"/>
    <s v="mlflow-artifacts:/32/b336fd696c6c40c6ae6b238b77541585/artifacts"/>
    <s v="2026-05-17 02:26:49.600000+00:00"/>
    <s v="2026-05-17 02:26:52.777000+00:00"/>
    <n v="1.7789847917301801E+18"/>
    <n v="0.98834202794171899"/>
    <n v="0.98814772322788103"/>
    <n v="13.131470284000001"/>
    <n v="0.98834202794171899"/>
    <n v="1.7789847917301199E+18"/>
    <n v="0.98817644383810799"/>
    <n v="1.7789848095488E+18"/>
    <n v="1.7789825251182001E+18"/>
    <n v="2244.30965668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pokenArabicDigits/ --model_id SpokenArabicDigits --model TimesNet --data UEA --e_layers 3 --batch_size 32 --d_model 128 --d_ff 256 --top_k 3 --des Exp --itr 1 --learning_rate 0.001 --train_epochs 1000 --patience 10 --seed 123 --id 50203c726d92b66d807af713455c50239b3cf1080be1b8375c18828d209217c1"/>
    <n v="1"/>
    <b v="0"/>
    <b v="0"/>
    <s v="M"/>
    <n v="3"/>
    <b v="0"/>
    <n v="10"/>
    <n v="0"/>
    <n v="0"/>
    <b v="0"/>
    <n v="1E-3"/>
    <n v="256"/>
    <b v="1"/>
    <n v="1"/>
    <n v="3"/>
    <n v="0.1"/>
    <n v="0.1"/>
    <b v="0"/>
    <n v="32"/>
    <n v="123"/>
    <n v="1"/>
    <n v="16"/>
    <s v="./dataset/SpokenArabicDigits/"/>
    <s v="Monthly"/>
    <n v="10"/>
    <b v="0"/>
    <s v="classification"/>
    <s v="50203c726d92b66d807af713455c50239b3cf1080be1b8375c18828d209217c1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pokenArabicDigits', model='TimesNet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50203c726d92b66d807af713455c50239b3cf1080be1b8375c18828d209217c1', device=device(type='cuda', index=0), num_class=10)"/>
    <x v="1"/>
    <s v="classification_SpokenArabicDigits_TimesNet_UEA_ftM_sl93_ll48_pl0_dm128_nh8_el3_dl1_df256_expand2_dc4_fc1_ebtimeF_dtTrue_Exp_050203c726d92b66d807af713455c50239b3cf1080be1b8375c18828d209217c1"/>
    <s v="None"/>
    <n v="93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f0718e786cf74f21826308da3b007b20', 'MLFLOW_TRACKING_USERNAME': 'sunwu', 'MLFLOW_TRACKING_PASSWORD': 'sunwu520yxq.....', 'MLFLOW_TRACKING_URI': 'https://mlflow.gwusun.top', 'MLFLOW_EXPERIMENT_ID': '32', 'KMP_DUPLICATE_LIB_OK': 'True', 'KMP_INIT_AT_FORK': 'FALSE', 'TRAIN_START': '1778982525118209346', 'TORCHINDUCTOR_CACHE_DIR': '/tmp/torchinductor_root', 'TRAIN_END': '1778984791730121127', 'TEST_START': '1778984791730186705', 'TEST_END': '1778984809548806297'}"/>
    <n v="7"/>
    <s v="[128, 128]"/>
    <n v="0"/>
    <s v="SpokenArabicDigits"/>
    <s v="moving_avg"/>
    <s v="50203c726d92b66d807af713455c50239b3cf1080be1b8375c18828d209217c1"/>
    <n v="1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pokenArabicDigits_TimesNet_UEA_ftM_sl93_ll48_pl0_dm128_nh8_el3_dl1_df256_expand2_dc4_fc1_ebtimeF_dtTrue_Exp_050203c726d92b66d807af713455c50239b3cf1080be1b8375c18828d209217c1"/>
    <s v="run.py"/>
    <s v="sunwu"/>
    <x v="1"/>
    <x v="71"/>
  </r>
  <r>
    <s v="97d78d7795e94c94b3d83c47ba9fa91d"/>
    <n v="32"/>
    <s v="FINISHED"/>
    <s v="mlflow-artifacts:/32/97d78d7795e94c94b3d83c47ba9fa91d/artifacts"/>
    <s v="2026-05-17 01:48:13.208000+00:00"/>
    <s v="2026-05-17 01:48:18.236000+00:00"/>
    <n v="1.77898248618659E+18"/>
    <n v="0.90562908571036504"/>
    <n v="0.90435663730364901"/>
    <n v="6.0661737560000004"/>
    <n v="0.90562908571036504"/>
    <n v="1.7789824861865201E+18"/>
    <n v="0.90443686006825896"/>
    <n v="1.7789824931571799E+18"/>
    <n v="1.7789817540858399E+18"/>
    <n v="729.19075101199996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1/ --model_id SelfRegulationSCP1 --model TimesNet --data UEA --e_layers 3 --batch_size 32 --d_model 128 --d_ff 256 --top_k 3 --des Exp --itr 1 --learning_rate 0.001 --train_epochs 1000 --patience 10 --seed 123 --id cb77209b337c181942490c9c5299399a31359eeef886abd2ea96d2971f7e3556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"/>
    <n v="1"/>
    <n v="16"/>
    <s v="./dataset/SelfRegulationSCP1/"/>
    <s v="Monthly"/>
    <n v="10"/>
    <b v="0"/>
    <s v="classification"/>
    <s v="cb77209b337c181942490c9c5299399a31359eeef886abd2ea96d2971f7e3556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1', model='TimesNet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cb77209b337c181942490c9c5299399a31359eeef886abd2ea96d2971f7e3556', device=device(type='cuda', index=0), num_class=2)"/>
    <x v="1"/>
    <s v="classification_SelfRegulationSCP1_TimesNet_UEA_ftM_sl896_ll48_pl0_dm128_nh8_el3_dl1_df256_expand2_dc4_fc1_ebtimeF_dtTrue_Exp_0cb77209b337c181942490c9c5299399a31359eeef886abd2ea96d2971f7e3556"/>
    <s v="None"/>
    <n v="896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08a0d405545345098963bdafe4427945', 'MLFLOW_TRACKING_USERNAME': 'sunwu', 'MLFLOW_TRACKING_PASSWORD': 'sunwu520yxq.....', 'MLFLOW_TRACKING_URI': 'https://mlflow.gwusun.top', 'MLFLOW_EXPERIMENT_ID': '32', 'KMP_DUPLICATE_LIB_OK': 'True', 'KMP_INIT_AT_FORK': 'FALSE', 'TRAIN_START': '1778981754085847482', 'TORCHINDUCTOR_CACHE_DIR': '/tmp/torchinductor_root', 'TRAIN_END': '1778982486186522150', 'TEST_START': '1778982486186592887', 'TEST_END': '1778982493157183192'}"/>
    <n v="7"/>
    <s v="[128, 128]"/>
    <n v="0"/>
    <s v="SelfRegulationSCP1"/>
    <s v="moving_avg"/>
    <s v="cb77209b337c181942490c9c5299399a31359eeef886abd2ea96d2971f7e3556"/>
    <n v="6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1_TimesNet_UEA_ftM_sl896_ll48_pl0_dm128_nh8_el3_dl1_df256_expand2_dc4_fc1_ebtimeF_dtTrue_Exp_0cb77209b337c181942490c9c5299399a31359eeef886abd2ea96d2971f7e3556"/>
    <s v="run.py"/>
    <s v="sunwu"/>
    <x v="4"/>
    <x v="72"/>
  </r>
  <r>
    <s v="36096d476b91480fbe71c08f7688738f"/>
    <n v="32"/>
    <s v="FINISHED"/>
    <s v="mlflow-artifacts:/32/36096d476b91480fbe71c08f7688738f/artifacts"/>
    <s v="2026-05-17 01:47:27.432000+00:00"/>
    <s v="2026-05-17 01:47:38.693000+00:00"/>
    <n v="1.7789824411458099E+18"/>
    <n v="0.54589495155532797"/>
    <n v="0.54081632653061196"/>
    <n v="4.9390277319999996"/>
    <n v="0.54589495155532797"/>
    <n v="1.77898244114575E+18"/>
    <n v="0.54444444444444395"/>
    <n v="1.7789824472201001E+18"/>
    <n v="1.7789818387810701E+18"/>
    <n v="597.28560662899997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2/ --model_id SelfRegulationSCP2 --model TimesNet --data UEA --e_layers 3 --batch_size 32 --d_model 128 --d_ff 256 --top_k 3 --des Exp --itr 1 --learning_rate 0.001 --train_epochs 1000 --patience 10 --seed 123 --id 6172d3a895fec8e9b24e37d05cd38888656a77e8a6a6cb4852677357db9d82f8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"/>
    <n v="1"/>
    <n v="16"/>
    <s v="./dataset/SelfRegulationSCP2/"/>
    <s v="Monthly"/>
    <n v="10"/>
    <b v="0"/>
    <s v="classification"/>
    <s v="6172d3a895fec8e9b24e37d05cd38888656a77e8a6a6cb4852677357db9d82f8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2', model='TimesNet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6172d3a895fec8e9b24e37d05cd38888656a77e8a6a6cb4852677357db9d82f8', device=device(type='cuda', index=0), num_class=2)"/>
    <x v="1"/>
    <s v="classification_SelfRegulationSCP2_TimesNet_UEA_ftM_sl1152_ll48_pl0_dm128_nh8_el3_dl1_df256_expand2_dc4_fc1_ebtimeF_dtTrue_Exp_06172d3a895fec8e9b24e37d05cd38888656a77e8a6a6cb4852677357db9d82f8"/>
    <s v="None"/>
    <n v="115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194ec3897deb4004bc6739dce4407c60', 'MLFLOW_TRACKING_USERNAME': 'sunwu', 'MLFLOW_TRACKING_PASSWORD': 'sunwu520yxq.....', 'MLFLOW_TRACKING_URI': 'https://mlflow.gwusun.top', 'MLFLOW_EXPERIMENT_ID': '32', 'KMP_DUPLICATE_LIB_OK': 'True', 'KMP_INIT_AT_FORK': 'FALSE', 'TRAIN_START': '1778981838781076660', 'TORCHINDUCTOR_CACHE_DIR': '/tmp/torchinductor_root', 'TRAIN_END': '1778982441145750675', 'TEST_START': '1778982441145810449', 'TEST_END': '1778982447220100857'}"/>
    <n v="7"/>
    <s v="[128, 128]"/>
    <n v="0"/>
    <s v="SelfRegulationSCP2"/>
    <s v="moving_avg"/>
    <s v="6172d3a895fec8e9b24e37d05cd38888656a77e8a6a6cb4852677357db9d82f8"/>
    <n v="7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2_TimesNet_UEA_ftM_sl1152_ll48_pl0_dm128_nh8_el3_dl1_df256_expand2_dc4_fc1_ebtimeF_dtTrue_Exp_06172d3a895fec8e9b24e37d05cd38888656a77e8a6a6cb4852677357db9d82f8"/>
    <s v="run.py"/>
    <s v="sunwu"/>
    <x v="3"/>
    <x v="73"/>
  </r>
  <r>
    <s v="483e5d9f5c884d16bf41546c6191b0a5"/>
    <n v="32"/>
    <s v="FINISHED"/>
    <s v="mlflow-artifacts:/32/483e5d9f5c884d16bf41546c6191b0a5/artifacts"/>
    <s v="2026-05-17 01:36:30.565000+00:00"/>
    <s v="2026-05-17 01:36:35.480000+00:00"/>
    <n v="1.7789815634922701E+18"/>
    <n v="0.66422736265048998"/>
    <n v="0.65960163663451798"/>
    <n v="33.446977214999997"/>
    <n v="0.66422736265048998"/>
    <n v="1.7789815634922199E+18"/>
    <n v="0.66118047673098701"/>
    <n v="1.77898179050176E+18"/>
    <n v="1.7789793476451799E+18"/>
    <n v="1497.886904842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FaceDetection/ --model_id FaceDetection --model TimesNet --data UEA --e_layers 3 --batch_size 32 --d_model 128 --d_ff 256 --top_k 3 --des Exp --itr 1 --learning_rate 0.001 --train_epochs 1000 --patience 10 --seed 123 --id 4620e30243aad1c87143214bc5157fa017844873c9f17ecab5fa26b85e78c3a7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"/>
    <n v="1"/>
    <n v="16"/>
    <s v="./dataset/FaceDetection/"/>
    <s v="Monthly"/>
    <n v="10"/>
    <b v="0"/>
    <s v="classification"/>
    <s v="4620e30243aad1c87143214bc5157fa017844873c9f17ecab5fa26b85e78c3a7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FaceDetection', model='TimesNet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4620e30243aad1c87143214bc5157fa017844873c9f17ecab5fa26b85e78c3a7', device=device(type='cuda', index=0), num_class=2)"/>
    <x v="1"/>
    <s v="classification_FaceDetection_TimesNet_UEA_ftM_sl62_ll48_pl0_dm128_nh8_el3_dl1_df256_expand2_dc4_fc1_ebtimeF_dtTrue_Exp_04620e30243aad1c87143214bc5157fa017844873c9f17ecab5fa26b85e78c3a7"/>
    <s v="None"/>
    <n v="6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70da142aff654ba4ac778d2ee0dec315', 'MLFLOW_TRACKING_USERNAME': 'sunwu', 'MLFLOW_TRACKING_PASSWORD': 'sunwu520yxq.....', 'MLFLOW_TRACKING_URI': 'https://mlflow.gwusun.top', 'MLFLOW_EXPERIMENT_ID': '32', 'KMP_DUPLICATE_LIB_OK': 'True', 'KMP_INIT_AT_FORK': 'FALSE', 'TRAIN_START': '1778979347645182111', 'TORCHINDUCTOR_CACHE_DIR': '/tmp/torchinductor_root', 'TRAIN_END': '1778981563492226402', 'TEST_START': '1778981563492273418', 'TEST_END': '1778981790501766211'}"/>
    <n v="7"/>
    <s v="[128, 128]"/>
    <n v="0"/>
    <s v="FaceDetection"/>
    <s v="moving_avg"/>
    <s v="4620e30243aad1c87143214bc5157fa017844873c9f17ecab5fa26b85e78c3a7"/>
    <n v="144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FaceDetection_TimesNet_UEA_ftM_sl62_ll48_pl0_dm128_nh8_el3_dl1_df256_expand2_dc4_fc1_ebtimeF_dtTrue_Exp_04620e30243aad1c87143214bc5157fa017844873c9f17ecab5fa26b85e78c3a7"/>
    <s v="run.py"/>
    <s v="sunwu"/>
    <x v="2"/>
    <x v="74"/>
  </r>
  <r>
    <s v="1a11f73d5182441da8498eec3062d95d"/>
    <n v="32"/>
    <s v="FINISHED"/>
    <s v="mlflow-artifacts:/32/1a11f73d5182441da8498eec3062d95d/artifacts"/>
    <s v="2026-05-17 01:35:31.022000+00:00"/>
    <s v="2026-05-17 01:35:35.315000+00:00"/>
    <n v="1.7789817280699699E+18"/>
    <n v="0.97078744467463896"/>
    <n v="0.97029917765278995"/>
    <n v="2.1148997789999999"/>
    <n v="0.97078744467463896"/>
    <n v="1.77898172806992E+18"/>
    <n v="0.97027027027027002"/>
    <n v="1.77898173097039E+18"/>
    <n v="1.7789811379680699E+18"/>
    <n v="564.3432521519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JapaneseVowels/ --model_id JapaneseVowels --model TimesNet --data UEA --e_layers 3 --batch_size 32 --d_model 128 --d_ff 256 --top_k 3 --des Exp --itr 1 --learning_rate 0.001 --train_epochs 1000 --patience 10 --seed 123 --id 25e77d9eb89cb16578211906ea1a60cda0362474ff3af9b91ca37c2543449144"/>
    <n v="1"/>
    <b v="0"/>
    <b v="0"/>
    <s v="M"/>
    <n v="3"/>
    <b v="0"/>
    <n v="9"/>
    <n v="0"/>
    <n v="0"/>
    <b v="0"/>
    <n v="1E-3"/>
    <n v="256"/>
    <b v="1"/>
    <n v="1"/>
    <n v="3"/>
    <n v="0.1"/>
    <n v="0.1"/>
    <b v="0"/>
    <n v="32"/>
    <n v="123"/>
    <n v="1"/>
    <n v="16"/>
    <s v="./dataset/JapaneseVowels/"/>
    <s v="Monthly"/>
    <n v="10"/>
    <b v="0"/>
    <s v="classification"/>
    <s v="25e77d9eb89cb16578211906ea1a60cda0362474ff3af9b91ca37c2543449144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JapaneseVowels', model='TimesNet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25e77d9eb89cb16578211906ea1a60cda0362474ff3af9b91ca37c2543449144', device=device(type='cuda', index=0), num_class=9)"/>
    <x v="1"/>
    <s v="classification_JapaneseVowels_TimesNet_UEA_ftM_sl29_ll48_pl0_dm128_nh8_el3_dl1_df256_expand2_dc4_fc1_ebtimeF_dtTrue_Exp_025e77d9eb89cb16578211906ea1a60cda0362474ff3af9b91ca37c2543449144"/>
    <s v="None"/>
    <n v="29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73db66479608405e982be5bcc6fc2b40', 'MLFLOW_TRACKING_USERNAME': 'sunwu', 'MLFLOW_TRACKING_PASSWORD': 'sunwu520yxq.....', 'MLFLOW_TRACKING_URI': 'https://mlflow.gwusun.top', 'MLFLOW_EXPERIMENT_ID': '32', 'KMP_DUPLICATE_LIB_OK': 'True', 'KMP_INIT_AT_FORK': 'FALSE', 'TRAIN_START': '1778981137968070882', 'TORCHINDUCTOR_CACHE_DIR': '/tmp/torchinductor_root', 'TRAIN_END': '1778981728069924113', 'TEST_START': '1778981728069974973', 'TEST_END': '1778981730970399577'}"/>
    <n v="7"/>
    <s v="[128, 128]"/>
    <n v="0"/>
    <s v="JapaneseVowels"/>
    <s v="moving_avg"/>
    <s v="25e77d9eb89cb16578211906ea1a60cda0362474ff3af9b91ca37c2543449144"/>
    <n v="12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JapaneseVowels_TimesNet_UEA_ftM_sl29_ll48_pl0_dm128_nh8_el3_dl1_df256_expand2_dc4_fc1_ebtimeF_dtTrue_Exp_025e77d9eb89cb16578211906ea1a60cda0362474ff3af9b91ca37c2543449144"/>
    <s v="run.py"/>
    <s v="sunwu"/>
    <x v="5"/>
    <x v="75"/>
  </r>
  <r>
    <s v="686c634799f0498a83a250b224490fdf"/>
    <n v="32"/>
    <s v="FINISHED"/>
    <s v="mlflow-artifacts:/32/686c634799f0498a83a250b224490fdf/artifacts"/>
    <s v="2026-05-17 01:24:19.493000+00:00"/>
    <s v="2026-05-17 01:24:31.701000+00:00"/>
    <n v="1.77898102428991E+18"/>
    <n v="0.78439024390243905"/>
    <n v="0.73994298384542201"/>
    <n v="5.8523617720000001"/>
    <n v="0.78439024390243905"/>
    <n v="1.77898102428978E+18"/>
    <n v="0.78048780487804803"/>
    <n v="1.77898105913265E+18"/>
    <n v="1.7789804322797599E+18"/>
    <n v="503.483916873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eartbeat/ --model_id Heartbeat --model TimesNet --data UEA --e_layers 3 --batch_size 32 --d_model 128 --d_ff 256 --top_k 3 --des Exp --itr 1 --learning_rate 0.001 --train_epochs 1000 --patience 10 --seed 123 --id 09481fb5d6776fe5272ca7dfe80785fe5bf76d601eab4e6ea92605e5fb0ae868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"/>
    <n v="1"/>
    <n v="16"/>
    <s v="./dataset/Heartbeat/"/>
    <s v="Monthly"/>
    <n v="10"/>
    <b v="0"/>
    <s v="classification"/>
    <s v="09481fb5d6776fe5272ca7dfe80785fe5bf76d601eab4e6ea92605e5fb0ae868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eartbeat', model='TimesNet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09481fb5d6776fe5272ca7dfe80785fe5bf76d601eab4e6ea92605e5fb0ae868', device=device(type='cuda', index=0), num_class=2)"/>
    <x v="1"/>
    <s v="classification_Heartbeat_TimesNet_UEA_ftM_sl405_ll48_pl0_dm128_nh8_el3_dl1_df256_expand2_dc4_fc1_ebtimeF_dtTrue_Exp_009481fb5d6776fe5272ca7dfe80785fe5bf76d601eab4e6ea92605e5fb0ae868"/>
    <s v="None"/>
    <n v="405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5038e99c41946b993a03c058c922600', 'MLFLOW_TRACKING_USERNAME': 'sunwu', 'MLFLOW_TRACKING_PASSWORD': 'sunwu520yxq.....', 'MLFLOW_TRACKING_URI': 'https://mlflow.gwusun.top', 'MLFLOW_EXPERIMENT_ID': '32', 'KMP_DUPLICATE_LIB_OK': 'True', 'KMP_INIT_AT_FORK': 'FALSE', 'TRAIN_START': '1778980432279768685', 'TORCHINDUCTOR_CACHE_DIR': '/tmp/torchinductor_root', 'TRAIN_END': '1778981024289782017', 'TEST_START': '1778981024289913251', 'TEST_END': '1778981059132650368'}"/>
    <n v="7"/>
    <s v="[128, 128]"/>
    <n v="0"/>
    <s v="Heartbeat"/>
    <s v="moving_avg"/>
    <s v="09481fb5d6776fe5272ca7dfe80785fe5bf76d601eab4e6ea92605e5fb0ae868"/>
    <n v="61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eartbeat_TimesNet_UEA_ftM_sl405_ll48_pl0_dm128_nh8_el3_dl1_df256_expand2_dc4_fc1_ebtimeF_dtTrue_Exp_009481fb5d6776fe5272ca7dfe80785fe5bf76d601eab4e6ea92605e5fb0ae868"/>
    <s v="run.py"/>
    <s v="sunwu"/>
    <x v="6"/>
    <x v="76"/>
  </r>
  <r>
    <s v="aecaba44c072476bb3797be87039f4be"/>
    <n v="32"/>
    <s v="FINISHED"/>
    <s v="mlflow-artifacts:/32/aecaba44c072476bb3797be87039f4be/artifacts"/>
    <s v="2026-05-17 01:10:13.698000+00:00"/>
    <s v="2026-05-17 01:10:17.978000+00:00"/>
    <n v="1.77898018823295E+18"/>
    <n v="0.35746317526631199"/>
    <n v="0.31100574843955497"/>
    <n v="19.503026308999999"/>
    <n v="0.35746317526631199"/>
    <n v="1.7789801882329001E+18"/>
    <n v="0.33882352941176402"/>
    <n v="1.7789802131920799E+18"/>
    <n v="1.77897900049102E+18"/>
    <n v="1184.386265883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andwriting/ --model_id Handwriting --model TimesNet --data UEA --e_layers 3 --batch_size 32 --d_model 128 --d_ff 256 --top_k 3 --des Exp --itr 1 --learning_rate 0.001 --train_epochs 1000 --patience 10 --seed 123 --id a0e90ef0ba6636b0e5fe0f548b5bc02b551dfd1ff42589cc287be84b60615b5b"/>
    <n v="1"/>
    <b v="0"/>
    <b v="0"/>
    <s v="M"/>
    <n v="3"/>
    <b v="0"/>
    <n v="26"/>
    <n v="0"/>
    <n v="0"/>
    <b v="0"/>
    <n v="1E-3"/>
    <n v="256"/>
    <b v="1"/>
    <n v="1"/>
    <n v="3"/>
    <n v="0.1"/>
    <n v="0.1"/>
    <b v="0"/>
    <n v="32"/>
    <n v="123"/>
    <n v="1"/>
    <n v="16"/>
    <s v="./dataset/Handwriting/"/>
    <s v="Monthly"/>
    <n v="10"/>
    <b v="0"/>
    <s v="classification"/>
    <s v="a0e90ef0ba6636b0e5fe0f548b5bc02b551dfd1ff42589cc287be84b60615b5b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andwriting', model='TimesNet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a0e90ef0ba6636b0e5fe0f548b5bc02b551dfd1ff42589cc287be84b60615b5b', device=device(type='cuda', index=0), num_class=26)"/>
    <x v="1"/>
    <s v="classification_Handwriting_TimesNet_UEA_ftM_sl152_ll48_pl0_dm128_nh8_el3_dl1_df256_expand2_dc4_fc1_ebtimeF_dtTrue_Exp_0a0e90ef0ba6636b0e5fe0f548b5bc02b551dfd1ff42589cc287be84b60615b5b"/>
    <s v="None"/>
    <n v="15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bb49a7702621497b9d4d93006f64cfa7', 'MLFLOW_TRACKING_USERNAME': 'sunwu', 'MLFLOW_TRACKING_PASSWORD': 'sunwu520yxq.....', 'MLFLOW_TRACKING_URI': 'https://mlflow.gwusun.top', 'MLFLOW_EXPERIMENT_ID': '32', 'KMP_DUPLICATE_LIB_OK': 'True', 'KMP_INIT_AT_FORK': 'FALSE', 'TRAIN_START': '1778979000491027716', 'TORCHINDUCTOR_CACHE_DIR': '/tmp/torchinductor_root', 'TRAIN_END': '1778980188232903603', 'TEST_START': '1778980188232949937', 'TEST_END': '1778980213192083497'}"/>
    <n v="7"/>
    <s v="[128, 128]"/>
    <n v="0"/>
    <s v="Handwriting"/>
    <s v="moving_avg"/>
    <s v="a0e90ef0ba6636b0e5fe0f548b5bc02b551dfd1ff42589cc287be84b60615b5b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andwriting_TimesNet_UEA_ftM_sl152_ll48_pl0_dm128_nh8_el3_dl1_df256_expand2_dc4_fc1_ebtimeF_dtTrue_Exp_0a0e90ef0ba6636b0e5fe0f548b5bc02b551dfd1ff42589cc287be84b60615b5b"/>
    <s v="run.py"/>
    <s v="sunwu"/>
    <x v="7"/>
    <x v="77"/>
  </r>
  <r>
    <s v="f1fa635d96cb4a71ad00e6f9e0cb0012"/>
    <n v="32"/>
    <s v="FINISHED"/>
    <s v="mlflow-artifacts:/32/f1fa635d96cb4a71ad00e6f9e0cb0012/artifacts"/>
    <s v="2026-05-17 00:49:46.066000+00:00"/>
    <s v="2026-05-17 00:49:49.316000+00:00"/>
    <n v="1.77897897747119E+18"/>
    <n v="0.34161943707104703"/>
    <n v="0.23505816107536101"/>
    <n v="7.9905687250000001"/>
    <n v="0.34161943707104703"/>
    <n v="1.7789789774711501E+18"/>
    <n v="0.29277566539923899"/>
    <n v="1.7789789860175501E+18"/>
    <n v="1.7789784647870001E+18"/>
    <n v="509.8695946729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EthanolConcentration/ --model_id EthanolConcentration --model TimesNet --data UEA --e_layers 3 --batch_size 32 --d_model 128 --d_ff 256 --top_k 3 --des Exp --itr 1 --learning_rate 0.001 --train_epochs 1000 --patience 10 --seed 123 --id 2f5ad7d061a2c6deea1b2052a236bfa4396c8f6c73729c0d3b0b9d4d4b396a25"/>
    <n v="1"/>
    <b v="0"/>
    <b v="0"/>
    <s v="M"/>
    <n v="3"/>
    <b v="0"/>
    <n v="4"/>
    <n v="0"/>
    <n v="0"/>
    <b v="0"/>
    <n v="1E-3"/>
    <n v="256"/>
    <b v="1"/>
    <n v="1"/>
    <n v="3"/>
    <n v="0.1"/>
    <n v="0.1"/>
    <b v="0"/>
    <n v="32"/>
    <n v="123"/>
    <n v="1"/>
    <n v="16"/>
    <s v="./dataset/EthanolConcentration/"/>
    <s v="Monthly"/>
    <n v="10"/>
    <b v="0"/>
    <s v="classification"/>
    <s v="2f5ad7d061a2c6deea1b2052a236bfa4396c8f6c73729c0d3b0b9d4d4b396a25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EthanolConcentration', model='TimesNet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2f5ad7d061a2c6deea1b2052a236bfa4396c8f6c73729c0d3b0b9d4d4b396a25', device=device(type='cuda', index=0), num_class=4)"/>
    <x v="1"/>
    <s v="classification_EthanolConcentration_TimesNet_UEA_ftM_sl1751_ll48_pl0_dm128_nh8_el3_dl1_df256_expand2_dc4_fc1_ebtimeF_dtTrue_Exp_02f5ad7d061a2c6deea1b2052a236bfa4396c8f6c73729c0d3b0b9d4d4b396a25"/>
    <s v="None"/>
    <n v="1751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81c58414df2e497fa48688031af3dd1b', 'MLFLOW_TRACKING_USERNAME': 'sunwu', 'MLFLOW_TRACKING_PASSWORD': 'sunwu520yxq.....', 'MLFLOW_TRACKING_URI': 'https://mlflow.gwusun.top', 'MLFLOW_EXPERIMENT_ID': '32', 'KMP_DUPLICATE_LIB_OK': 'True', 'KMP_INIT_AT_FORK': 'FALSE', 'TRAIN_START': '1778978464787003800', 'TORCHINDUCTOR_CACHE_DIR': '/tmp/torchinductor_root', 'TRAIN_END': '1778978977471151783', 'TEST_START': '1778978977471199578', 'TEST_END': '1778978986017553209'}"/>
    <n v="7"/>
    <s v="[128, 128]"/>
    <n v="0"/>
    <s v="EthanolConcentration"/>
    <s v="moving_avg"/>
    <s v="2f5ad7d061a2c6deea1b2052a236bfa4396c8f6c73729c0d3b0b9d4d4b396a25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EthanolConcentration_TimesNet_UEA_ftM_sl1751_ll48_pl0_dm128_nh8_el3_dl1_df256_expand2_dc4_fc1_ebtimeF_dtTrue_Exp_02f5ad7d061a2c6deea1b2052a236bfa4396c8f6c73729c0d3b0b9d4d4b396a25"/>
    <s v="run.py"/>
    <s v="sunwu"/>
    <x v="8"/>
    <x v="78"/>
  </r>
  <r>
    <s v="58d928924cc44265814460e1f10f15f7"/>
    <n v="32"/>
    <s v="FINISHED"/>
    <s v="mlflow-artifacts:/32/58d928924cc44265814460e1f10f15f7/artifacts"/>
    <s v="2026-05-17 00:41:32.788000+00:00"/>
    <s v="2026-05-17 00:41:36.223000+00:00"/>
    <n v="1.77897845065807E+18"/>
    <n v="0.88061754881142096"/>
    <n v="0.87465166753333101"/>
    <n v="5.3063432959999997"/>
    <n v="0.88061754881142096"/>
    <n v="1.7789784506579999E+18"/>
    <n v="0.87283236994219604"/>
    <n v="1.77897849229535E+18"/>
    <n v="1.77897771236755E+18"/>
    <n v="262.5764967150000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PEMS-SF/ --model_id PEMS-SF --model TimesNet --data UEA --e_layers 3 --batch_size 32 --d_model 128 --d_ff 256 --top_k 3 --des Exp --itr 1 --learning_rate 0.001 --train_epochs 1000 --patience 10 --seed 42 --id 8ea4db3a7f2581e84876cc41df15a9d96fcad877c5b22dde828ad255c47f6d24"/>
    <n v="1"/>
    <b v="0"/>
    <b v="0"/>
    <s v="M"/>
    <n v="3"/>
    <b v="0"/>
    <n v="7"/>
    <n v="0"/>
    <n v="0"/>
    <b v="0"/>
    <n v="1E-3"/>
    <n v="256"/>
    <b v="1"/>
    <n v="1"/>
    <n v="3"/>
    <n v="0.1"/>
    <n v="0.1"/>
    <b v="0"/>
    <n v="32"/>
    <n v="42"/>
    <n v="1"/>
    <n v="16"/>
    <s v="./dataset/PEMS-SF/"/>
    <s v="Monthly"/>
    <n v="10"/>
    <b v="0"/>
    <s v="classification"/>
    <s v="8ea4db3a7f2581e84876cc41df15a9d96fcad877c5b22dde828ad255c47f6d24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PEMS-SF', model='TimesNet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8ea4db3a7f2581e84876cc41df15a9d96fcad877c5b22dde828ad255c47f6d24', device=device(type='cuda', index=0), num_class=7)"/>
    <x v="1"/>
    <s v="classification_PEMS-SF_TimesNet_UEA_ftM_sl144_ll48_pl0_dm128_nh8_el3_dl1_df256_expand2_dc4_fc1_ebtimeF_dtTrue_Exp_08ea4db3a7f2581e84876cc41df15a9d96fcad877c5b22dde828ad255c47f6d24"/>
    <s v="None"/>
    <n v="144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5b38b6f13c8c4e0a9a5846a60516cc32', 'MLFLOW_TRACKING_USERNAME': 'sunwu', 'MLFLOW_TRACKING_PASSWORD': 'sunwu520yxq.....', 'MLFLOW_TRACKING_URI': 'https://mlflow.gwusun.top', 'MLFLOW_EXPERIMENT_ID': '32', 'KMP_DUPLICATE_LIB_OK': 'True', 'KMP_INIT_AT_FORK': 'FALSE', 'TRAIN_START': '1778977712367552869', 'TORCHINDUCTOR_CACHE_DIR': '/tmp/torchinductor_root', 'TRAIN_END': '1778978450658000294', 'TEST_START': '1778978450658078520', 'TEST_END': '1778978492295357326'}"/>
    <n v="7"/>
    <s v="[128, 128]"/>
    <n v="0"/>
    <s v="PEMS-SF"/>
    <s v="moving_avg"/>
    <s v="8ea4db3a7f2581e84876cc41df15a9d96fcad877c5b22dde828ad255c47f6d24"/>
    <n v="96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PEMS-SF_TimesNet_UEA_ftM_sl144_ll48_pl0_dm128_nh8_el3_dl1_df256_expand2_dc4_fc1_ebtimeF_dtTrue_Exp_08ea4db3a7f2581e84876cc41df15a9d96fcad877c5b22dde828ad255c47f6d24"/>
    <s v="run.py"/>
    <s v="sunwu"/>
    <x v="0"/>
    <x v="79"/>
  </r>
  <r>
    <s v="53df5151adc7471795d25023277bf540"/>
    <n v="32"/>
    <s v="FINISHED"/>
    <s v="mlflow-artifacts:/32/53df5151adc7471795d25023277bf540/artifacts"/>
    <s v="2026-05-17 00:40:48.493000+00:00"/>
    <s v="2026-05-17 00:40:51.654000+00:00"/>
    <n v="1.77897844468032E+18"/>
    <n v="0.87955749840148301"/>
    <n v="0.87546039190362102"/>
    <n v="3.4541914450000002"/>
    <n v="0.87955749840148301"/>
    <n v="1.7789784446802601E+18"/>
    <n v="0.875"/>
    <n v="1.7789784484287301E+18"/>
    <n v="1.7789781431212301E+18"/>
    <n v="299.66604608699998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UWaveGestureLibrary/ --model_id UWaveGestureLibrary --model TimesNet --data UEA --e_layers 3 --batch_size 32 --d_model 128 --d_ff 256 --top_k 3 --des Exp --itr 1 --learning_rate 0.001 --train_epochs 1000 --patience 10 --seed 123 --id 197578f23f0440fa13993bcc4d6ab91b0bec828634ea7ec852b450ded8b20b7f"/>
    <n v="1"/>
    <b v="0"/>
    <b v="0"/>
    <s v="M"/>
    <n v="3"/>
    <b v="0"/>
    <n v="8"/>
    <n v="0"/>
    <n v="0"/>
    <b v="0"/>
    <n v="1E-3"/>
    <n v="256"/>
    <b v="1"/>
    <n v="1"/>
    <n v="3"/>
    <n v="0.1"/>
    <n v="0.1"/>
    <b v="0"/>
    <n v="32"/>
    <n v="123"/>
    <n v="1"/>
    <n v="16"/>
    <s v="./dataset/UWaveGestureLibrary/"/>
    <s v="Monthly"/>
    <n v="10"/>
    <b v="0"/>
    <s v="classification"/>
    <s v="197578f23f0440fa13993bcc4d6ab91b0bec828634ea7ec852b450ded8b20b7f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UWaveGestureLibrary', model='TimesNet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197578f23f0440fa13993bcc4d6ab91b0bec828634ea7ec852b450ded8b20b7f', device=device(type='cuda', index=0), num_class=8)"/>
    <x v="1"/>
    <s v="classification_UWaveGestureLibrary_TimesNet_UEA_ftM_sl315_ll48_pl0_dm128_nh8_el3_dl1_df256_expand2_dc4_fc1_ebtimeF_dtTrue_Exp_0197578f23f0440fa13993bcc4d6ab91b0bec828634ea7ec852b450ded8b20b7f"/>
    <s v="None"/>
    <n v="315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6760e7f01b1848999cd615884dfd7903', 'MLFLOW_TRACKING_USERNAME': 'sunwu', 'MLFLOW_TRACKING_PASSWORD': 'sunwu520yxq.....', 'MLFLOW_TRACKING_URI': 'https://mlflow.gwusun.top', 'MLFLOW_EXPERIMENT_ID': '32', 'KMP_DUPLICATE_LIB_OK': 'True', 'KMP_INIT_AT_FORK': 'FALSE', 'TRAIN_START': '1778978143121234773', 'TORCHINDUCTOR_CACHE_DIR': '/tmp/torchinductor_root', 'TRAIN_END': '1778978444680264907', 'TEST_START': '1778978444680322093', 'TEST_END': '1778978448428731234'}"/>
    <n v="7"/>
    <s v="[128, 128]"/>
    <n v="0"/>
    <s v="UWaveGestureLibrary"/>
    <s v="moving_avg"/>
    <s v="197578f23f0440fa13993bcc4d6ab91b0bec828634ea7ec852b450ded8b20b7f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UWaveGestureLibrary_TimesNet_UEA_ftM_sl315_ll48_pl0_dm128_nh8_el3_dl1_df256_expand2_dc4_fc1_ebtimeF_dtTrue_Exp_0197578f23f0440fa13993bcc4d6ab91b0bec828634ea7ec852b450ded8b20b7f"/>
    <s v="run.py"/>
    <s v="sunwu"/>
    <x v="9"/>
    <x v="80"/>
  </r>
  <r>
    <s v="4b239f406ce14a34a784738e52d250e4"/>
    <n v="32"/>
    <s v="FINISHED"/>
    <s v="mlflow-artifacts:/32/4b239f406ce14a34a784738e52d250e4/artifacts"/>
    <s v="2026-05-17 00:35:28.783000+00:00"/>
    <s v="2026-05-17 00:35:32.040000+00:00"/>
    <n v="1.7789781116506099E+18"/>
    <n v="0.98783789018902801"/>
    <n v="0.98772400586273701"/>
    <n v="12.294300732"/>
    <n v="0.98783789018902801"/>
    <n v="1.77897811165054E+18"/>
    <n v="0.98772169167803503"/>
    <n v="1.7789781287327301E+18"/>
    <n v="1.77897647819904E+18"/>
    <n v="1611.541039203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pokenArabicDigits/ --model_id SpokenArabicDigits --model TimesNet --data UEA --e_layers 3 --batch_size 32 --d_model 128 --d_ff 256 --top_k 3 --des Exp --itr 1 --learning_rate 0.001 --train_epochs 1000 --patience 10 --seed 42 --id 991a35f003ada8ea8f4b64938550b716464ac9edac287c939c3bcb73340c5dc3"/>
    <n v="1"/>
    <b v="0"/>
    <b v="0"/>
    <s v="M"/>
    <n v="3"/>
    <b v="0"/>
    <n v="10"/>
    <n v="0"/>
    <n v="0"/>
    <b v="0"/>
    <n v="1E-3"/>
    <n v="256"/>
    <b v="1"/>
    <n v="1"/>
    <n v="3"/>
    <n v="0.1"/>
    <n v="0.1"/>
    <b v="0"/>
    <n v="32"/>
    <n v="42"/>
    <n v="1"/>
    <n v="16"/>
    <s v="./dataset/SpokenArabicDigits/"/>
    <s v="Monthly"/>
    <n v="10"/>
    <b v="0"/>
    <s v="classification"/>
    <s v="991a35f003ada8ea8f4b64938550b716464ac9edac287c939c3bcb73340c5dc3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pokenArabicDigits', model='TimesNet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991a35f003ada8ea8f4b64938550b716464ac9edac287c939c3bcb73340c5dc3', device=device(type='cuda', index=0), num_class=10)"/>
    <x v="1"/>
    <s v="classification_SpokenArabicDigits_TimesNet_UEA_ftM_sl93_ll48_pl0_dm128_nh8_el3_dl1_df256_expand2_dc4_fc1_ebtimeF_dtTrue_Exp_0991a35f003ada8ea8f4b64938550b716464ac9edac287c939c3bcb73340c5dc3"/>
    <s v="None"/>
    <n v="93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e19fde74a6a24c5dba44bbf2c3086ac6', 'MLFLOW_TRACKING_USERNAME': 'sunwu', 'MLFLOW_TRACKING_PASSWORD': 'sunwu520yxq.....', 'MLFLOW_TRACKING_URI': 'https://mlflow.gwusun.top', 'MLFLOW_EXPERIMENT_ID': '32', 'KMP_DUPLICATE_LIB_OK': 'True', 'KMP_INIT_AT_FORK': 'FALSE', 'TRAIN_START': '1778976478199040917', 'TORCHINDUCTOR_CACHE_DIR': '/tmp/torchinductor_root', 'TRAIN_END': '1778978111650545157', 'TEST_START': '1778978111650613216', 'TEST_END': '1778978128732732611'}"/>
    <n v="7"/>
    <s v="[128, 128]"/>
    <n v="0"/>
    <s v="SpokenArabicDigits"/>
    <s v="moving_avg"/>
    <s v="991a35f003ada8ea8f4b64938550b716464ac9edac287c939c3bcb73340c5dc3"/>
    <n v="1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pokenArabicDigits_TimesNet_UEA_ftM_sl93_ll48_pl0_dm128_nh8_el3_dl1_df256_expand2_dc4_fc1_ebtimeF_dtTrue_Exp_0991a35f003ada8ea8f4b64938550b716464ac9edac287c939c3bcb73340c5dc3"/>
    <s v="run.py"/>
    <s v="sunwu"/>
    <x v="1"/>
    <x v="81"/>
  </r>
  <r>
    <s v="c92e3491c6104bf898344d32863025e6"/>
    <n v="32"/>
    <s v="FINISHED"/>
    <s v="mlflow-artifacts:/32/c92e3491c6104bf898344d32863025e6/artifacts"/>
    <s v="2026-05-17 00:07:35.918000+00:00"/>
    <s v="2026-05-17 00:07:40.033000+00:00"/>
    <n v="1.77897645307517E+18"/>
    <n v="0.59072580645161199"/>
    <n v="0.56215593393931595"/>
    <n v="2.2483005299999999"/>
    <n v="0.59072580645161199"/>
    <n v="1.7789764530751301E+18"/>
    <n v="0.57777777777777695"/>
    <n v="1.77897645587521E+18"/>
    <n v="1.7789762943789599E+18"/>
    <n v="139.2407865289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2/ --model_id SelfRegulationSCP2 --model TimesNet --data UEA --e_layers 3 --batch_size 32 --d_model 128 --d_ff 256 --top_k 3 --des Exp --itr 1 --learning_rate 0.001 --train_epochs 1000 --patience 10 --seed 42 --id 55bbf56ab4abac28373ccfdddfd471b335d7b3e32d1f939bdb0378dd07d13be9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42"/>
    <n v="1"/>
    <n v="16"/>
    <s v="./dataset/SelfRegulationSCP2/"/>
    <s v="Monthly"/>
    <n v="10"/>
    <b v="0"/>
    <s v="classification"/>
    <s v="55bbf56ab4abac28373ccfdddfd471b335d7b3e32d1f939bdb0378dd07d13be9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2', model='TimesNet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55bbf56ab4abac28373ccfdddfd471b335d7b3e32d1f939bdb0378dd07d13be9', device=device(type='cuda', index=0), num_class=2)"/>
    <x v="1"/>
    <s v="classification_SelfRegulationSCP2_TimesNet_UEA_ftM_sl1152_ll48_pl0_dm128_nh8_el3_dl1_df256_expand2_dc4_fc1_ebtimeF_dtTrue_Exp_055bbf56ab4abac28373ccfdddfd471b335d7b3e32d1f939bdb0378dd07d13be9"/>
    <s v="None"/>
    <n v="115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9518c3c3818f4f619eaa6a2659be207f', 'MLFLOW_TRACKING_USERNAME': 'sunwu', 'MLFLOW_TRACKING_PASSWORD': 'sunwu520yxq.....', 'MLFLOW_TRACKING_URI': 'https://mlflow.gwusun.top', 'MLFLOW_EXPERIMENT_ID': '32', 'KMP_DUPLICATE_LIB_OK': 'True', 'KMP_INIT_AT_FORK': 'FALSE', 'TRAIN_START': '1778976294378961295', 'TORCHINDUCTOR_CACHE_DIR': '/tmp/torchinductor_root', 'TRAIN_END': '1778976453075130988', 'TEST_START': '1778976453075171711', 'TEST_END': '1778976455875211519'}"/>
    <n v="7"/>
    <s v="[128, 128]"/>
    <n v="0"/>
    <s v="SelfRegulationSCP2"/>
    <s v="moving_avg"/>
    <s v="55bbf56ab4abac28373ccfdddfd471b335d7b3e32d1f939bdb0378dd07d13be9"/>
    <n v="7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2_TimesNet_UEA_ftM_sl1152_ll48_pl0_dm128_nh8_el3_dl1_df256_expand2_dc4_fc1_ebtimeF_dtTrue_Exp_055bbf56ab4abac28373ccfdddfd471b335d7b3e32d1f939bdb0378dd07d13be9"/>
    <s v="run.py"/>
    <s v="sunwu"/>
    <x v="3"/>
    <x v="82"/>
  </r>
  <r>
    <s v="e108924a7173437b80e98ea6456a6a13"/>
    <n v="32"/>
    <s v="FINISHED"/>
    <s v="mlflow-artifacts:/32/e108924a7173437b80e98ea6456a6a13/artifacts"/>
    <s v="2026-05-17 00:07:16.472000+00:00"/>
    <s v="2026-05-17 00:07:19.709000+00:00"/>
    <n v="1.7789763126280399E+18"/>
    <n v="0.67113016794048896"/>
    <n v="0.66730855033010195"/>
    <n v="29.626630206000002"/>
    <n v="0.67113016794048896"/>
    <n v="1.77897631262799E+18"/>
    <n v="0.66855845629965904"/>
    <n v="1.77897643640993E+18"/>
    <n v="1.77897434258146E+18"/>
    <n v="1355.343412927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FaceDetection/ --model_id FaceDetection --model TimesNet --data UEA --e_layers 3 --batch_size 32 --d_model 128 --d_ff 256 --top_k 3 --des Exp --itr 1 --learning_rate 0.001 --train_epochs 1000 --patience 10 --seed 42 --id 4ff1095879889f3b7eab02d9dd5ca3e7297b9571bd28d44d4f768cb78b65a8c0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42"/>
    <n v="1"/>
    <n v="16"/>
    <s v="./dataset/FaceDetection/"/>
    <s v="Monthly"/>
    <n v="10"/>
    <b v="0"/>
    <s v="classification"/>
    <s v="4ff1095879889f3b7eab02d9dd5ca3e7297b9571bd28d44d4f768cb78b65a8c0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FaceDetection', model='TimesNet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4ff1095879889f3b7eab02d9dd5ca3e7297b9571bd28d44d4f768cb78b65a8c0', device=device(type='cuda', index=0), num_class=2)"/>
    <x v="1"/>
    <s v="classification_FaceDetection_TimesNet_UEA_ftM_sl62_ll48_pl0_dm128_nh8_el3_dl1_df256_expand2_dc4_fc1_ebtimeF_dtTrue_Exp_04ff1095879889f3b7eab02d9dd5ca3e7297b9571bd28d44d4f768cb78b65a8c0"/>
    <s v="None"/>
    <n v="6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3c7df6c47ca4448aac979ef80774d524', 'MLFLOW_TRACKING_USERNAME': 'sunwu', 'MLFLOW_TRACKING_PASSWORD': 'sunwu520yxq.....', 'MLFLOW_TRACKING_URI': 'https://mlflow.gwusun.top', 'MLFLOW_EXPERIMENT_ID': '32', 'KMP_DUPLICATE_LIB_OK': 'True', 'KMP_INIT_AT_FORK': 'FALSE', 'TRAIN_START': '1778974342581465723', 'TORCHINDUCTOR_CACHE_DIR': '/tmp/torchinductor_root', 'TRAIN_END': '1778976312627994080', 'TEST_START': '1778976312628049456', 'TEST_END': '1778976436409937231'}"/>
    <n v="7"/>
    <s v="[128, 128]"/>
    <n v="0"/>
    <s v="FaceDetection"/>
    <s v="moving_avg"/>
    <s v="4ff1095879889f3b7eab02d9dd5ca3e7297b9571bd28d44d4f768cb78b65a8c0"/>
    <n v="144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FaceDetection_TimesNet_UEA_ftM_sl62_ll48_pl0_dm128_nh8_el3_dl1_df256_expand2_dc4_fc1_ebtimeF_dtTrue_Exp_04ff1095879889f3b7eab02d9dd5ca3e7297b9571bd28d44d4f768cb78b65a8c0"/>
    <s v="run.py"/>
    <s v="sunwu"/>
    <x v="2"/>
    <x v="83"/>
  </r>
  <r>
    <s v="b6d2e6960eb84025953d68903f34d6f2"/>
    <n v="32"/>
    <s v="FINISHED"/>
    <s v="mlflow-artifacts:/32/b6d2e6960eb84025953d68903f34d6f2/artifacts"/>
    <s v="2026-05-17 00:03:12.891000+00:00"/>
    <s v="2026-05-17 00:03:16.194000+00:00"/>
    <n v="1.77897617704593E+18"/>
    <n v="0.91502650784443296"/>
    <n v="0.91104516324886098"/>
    <n v="8.6964479459999993"/>
    <n v="0.91502650784443296"/>
    <n v="1.7789761770458801E+18"/>
    <n v="0.91126279863481197"/>
    <n v="1.77897619239965E+18"/>
    <n v="1.77897580698734E+18"/>
    <n v="342.4064835500000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1/ --model_id SelfRegulationSCP1 --model TimesNet --data UEA --e_layers 3 --batch_size 32 --d_model 128 --d_ff 256 --top_k 3 --des Exp --itr 1 --learning_rate 0.001 --train_epochs 1000 --patience 10 --seed 42 --id 33f2542f2fc008bdd91060f26351ae21c7024f8c6d4320261a0ab06f6c4bd7be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42"/>
    <n v="1"/>
    <n v="16"/>
    <s v="./dataset/SelfRegulationSCP1/"/>
    <s v="Monthly"/>
    <n v="10"/>
    <b v="0"/>
    <s v="classification"/>
    <s v="33f2542f2fc008bdd91060f26351ae21c7024f8c6d4320261a0ab06f6c4bd7be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1', model='TimesNet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33f2542f2fc008bdd91060f26351ae21c7024f8c6d4320261a0ab06f6c4bd7be', device=device(type='cuda', index=0), num_class=2)"/>
    <x v="1"/>
    <s v="classification_SelfRegulationSCP1_TimesNet_UEA_ftM_sl896_ll48_pl0_dm128_nh8_el3_dl1_df256_expand2_dc4_fc1_ebtimeF_dtTrue_Exp_033f2542f2fc008bdd91060f26351ae21c7024f8c6d4320261a0ab06f6c4bd7be"/>
    <s v="None"/>
    <n v="896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f30f9fa39fd441378d6b636b695a2e1e', 'MLFLOW_TRACKING_USERNAME': 'sunwu', 'MLFLOW_TRACKING_PASSWORD': 'sunwu520yxq.....', 'MLFLOW_TRACKING_URI': 'https://mlflow.gwusun.top', 'MLFLOW_EXPERIMENT_ID': '32', 'KMP_DUPLICATE_LIB_OK': 'True', 'KMP_INIT_AT_FORK': 'FALSE', 'TRAIN_START': '1778975806987348384', 'TORCHINDUCTOR_CACHE_DIR': '/tmp/torchinductor_root', 'TRAIN_END': '1778976177045885516', 'TEST_START': '1778976177045936202', 'TEST_END': '1778976192399652761'}"/>
    <n v="7"/>
    <s v="[128, 128]"/>
    <n v="0"/>
    <s v="SelfRegulationSCP1"/>
    <s v="moving_avg"/>
    <s v="33f2542f2fc008bdd91060f26351ae21c7024f8c6d4320261a0ab06f6c4bd7be"/>
    <n v="6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1_TimesNet_UEA_ftM_sl896_ll48_pl0_dm128_nh8_el3_dl1_df256_expand2_dc4_fc1_ebtimeF_dtTrue_Exp_033f2542f2fc008bdd91060f26351ae21c7024f8c6d4320261a0ab06f6c4bd7be"/>
    <s v="run.py"/>
    <s v="sunwu"/>
    <x v="4"/>
    <x v="84"/>
  </r>
  <r>
    <s v="571c98b7a9a44b82961d9e0702e6e32d"/>
    <n v="32"/>
    <s v="FINISHED"/>
    <s v="mlflow-artifacts:/32/571c98b7a9a44b82961d9e0702e6e32d/artifacts"/>
    <s v="2026-05-16 23:55:11.286000+00:00"/>
    <s v="2026-05-16 23:55:15.244000+00:00"/>
    <n v="1.7789756955855301E+18"/>
    <n v="0.97651022945402799"/>
    <n v="0.97567972251458002"/>
    <n v="6.7044190300000004"/>
    <n v="0.97651022945402799"/>
    <n v="1.7789756955854001E+18"/>
    <n v="0.97567567567567504"/>
    <n v="1.7789757107023201E+18"/>
    <n v="1.77897496808579E+18"/>
    <n v="697.97643577400004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JapaneseVowels/ --model_id JapaneseVowels --model TimesNet --data UEA --e_layers 3 --batch_size 32 --d_model 128 --d_ff 256 --top_k 3 --des Exp --itr 1 --learning_rate 0.001 --train_epochs 1000 --patience 10 --seed 42 --id c2449e93ae4f09b506b2862849a8100f6b79a93d1df220aea2d56a05b9a4c09e"/>
    <n v="1"/>
    <b v="0"/>
    <b v="0"/>
    <s v="M"/>
    <n v="3"/>
    <b v="0"/>
    <n v="9"/>
    <n v="0"/>
    <n v="0"/>
    <b v="0"/>
    <n v="1E-3"/>
    <n v="256"/>
    <b v="1"/>
    <n v="1"/>
    <n v="3"/>
    <n v="0.1"/>
    <n v="0.1"/>
    <b v="0"/>
    <n v="32"/>
    <n v="42"/>
    <n v="1"/>
    <n v="16"/>
    <s v="./dataset/JapaneseVowels/"/>
    <s v="Monthly"/>
    <n v="10"/>
    <b v="0"/>
    <s v="classification"/>
    <s v="c2449e93ae4f09b506b2862849a8100f6b79a93d1df220aea2d56a05b9a4c09e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JapaneseVowels', model='TimesNet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c2449e93ae4f09b506b2862849a8100f6b79a93d1df220aea2d56a05b9a4c09e', device=device(type='cuda', index=0), num_class=9)"/>
    <x v="1"/>
    <s v="classification_JapaneseVowels_TimesNet_UEA_ftM_sl29_ll48_pl0_dm128_nh8_el3_dl1_df256_expand2_dc4_fc1_ebtimeF_dtTrue_Exp_0c2449e93ae4f09b506b2862849a8100f6b79a93d1df220aea2d56a05b9a4c09e"/>
    <s v="None"/>
    <n v="29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804e0b0cd5ca495aae87cc3b0891767a', 'MLFLOW_TRACKING_USERNAME': 'sunwu', 'MLFLOW_TRACKING_PASSWORD': 'sunwu520yxq.....', 'MLFLOW_TRACKING_URI': 'https://mlflow.gwusun.top', 'MLFLOW_EXPERIMENT_ID': '32', 'KMP_DUPLICATE_LIB_OK': 'True', 'KMP_INIT_AT_FORK': 'FALSE', 'TRAIN_START': '1778974968085794324', 'TORCHINDUCTOR_CACHE_DIR': '/tmp/torchinductor_root', 'TRAIN_END': '1778975695585401701', 'TEST_START': '1778975695585536680', 'TEST_END': '1778975710702325568'}"/>
    <n v="7"/>
    <s v="[128, 128]"/>
    <n v="0"/>
    <s v="JapaneseVowels"/>
    <s v="moving_avg"/>
    <s v="c2449e93ae4f09b506b2862849a8100f6b79a93d1df220aea2d56a05b9a4c09e"/>
    <n v="12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JapaneseVowels_TimesNet_UEA_ftM_sl29_ll48_pl0_dm128_nh8_el3_dl1_df256_expand2_dc4_fc1_ebtimeF_dtTrue_Exp_0c2449e93ae4f09b506b2862849a8100f6b79a93d1df220aea2d56a05b9a4c09e"/>
    <s v="run.py"/>
    <s v="sunwu"/>
    <x v="5"/>
    <x v="85"/>
  </r>
  <r>
    <s v="bf19213aaba845aaa5b9fe9257213051"/>
    <n v="32"/>
    <s v="FINISHED"/>
    <s v="mlflow-artifacts:/32/bf19213aaba845aaa5b9fe9257213051/artifacts"/>
    <s v="2026-05-16 23:42:25.998000+00:00"/>
    <s v="2026-05-16 23:42:29.105000+00:00"/>
    <n v="1.77897494006863E+18"/>
    <n v="0.74378116156852103"/>
    <n v="0.72427300159526398"/>
    <n v="2.815669422"/>
    <n v="0.74378116156852103"/>
    <n v="1.7789749400685599E+18"/>
    <n v="0.76097560975609702"/>
    <n v="1.77897494593762E+18"/>
    <n v="1.7789748017386701E+18"/>
    <n v="128.99704209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eartbeat/ --model_id Heartbeat --model TimesNet --data UEA --e_layers 3 --batch_size 32 --d_model 128 --d_ff 256 --top_k 3 --des Exp --itr 1 --learning_rate 0.001 --train_epochs 1000 --patience 10 --seed 42 --id b07b81249f320facb599ccad365f35b6a173fe3c42e875f06ff50a32ee8f862e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42"/>
    <n v="1"/>
    <n v="16"/>
    <s v="./dataset/Heartbeat/"/>
    <s v="Monthly"/>
    <n v="10"/>
    <b v="0"/>
    <s v="classification"/>
    <s v="b07b81249f320facb599ccad365f35b6a173fe3c42e875f06ff50a32ee8f862e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eartbeat', model='TimesNet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b07b81249f320facb599ccad365f35b6a173fe3c42e875f06ff50a32ee8f862e', device=device(type='cuda', index=0), num_class=2)"/>
    <x v="1"/>
    <s v="classification_Heartbeat_TimesNet_UEA_ftM_sl405_ll48_pl0_dm128_nh8_el3_dl1_df256_expand2_dc4_fc1_ebtimeF_dtTrue_Exp_0b07b81249f320facb599ccad365f35b6a173fe3c42e875f06ff50a32ee8f862e"/>
    <s v="None"/>
    <n v="405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5a69aeb4f8049a4b504ed7394dc9a4c', 'MLFLOW_TRACKING_USERNAME': 'sunwu', 'MLFLOW_TRACKING_PASSWORD': 'sunwu520yxq.....', 'MLFLOW_TRACKING_URI': 'https://mlflow.gwusun.top', 'MLFLOW_EXPERIMENT_ID': '32', 'KMP_DUPLICATE_LIB_OK': 'True', 'KMP_INIT_AT_FORK': 'FALSE', 'TRAIN_START': '1778974801738678276', 'TORCHINDUCTOR_CACHE_DIR': '/tmp/torchinductor_root', 'TRAIN_END': '1778974940068566898', 'TEST_START': '1778974940068637417', 'TEST_END': '1778974945937627740'}"/>
    <n v="7"/>
    <s v="[128, 128]"/>
    <n v="0"/>
    <s v="Heartbeat"/>
    <s v="moving_avg"/>
    <s v="b07b81249f320facb599ccad365f35b6a173fe3c42e875f06ff50a32ee8f862e"/>
    <n v="61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eartbeat_TimesNet_UEA_ftM_sl405_ll48_pl0_dm128_nh8_el3_dl1_df256_expand2_dc4_fc1_ebtimeF_dtTrue_Exp_0b07b81249f320facb599ccad365f35b6a173fe3c42e875f06ff50a32ee8f862e"/>
    <s v="run.py"/>
    <s v="sunwu"/>
    <x v="6"/>
    <x v="86"/>
  </r>
  <r>
    <s v="c22c07010e254a658bcf7af1cc8f0f63"/>
    <n v="32"/>
    <s v="FINISHED"/>
    <s v="mlflow-artifacts:/32/c22c07010e254a658bcf7af1cc8f0f63/artifacts"/>
    <s v="2026-05-16 23:39:25.704000+00:00"/>
    <s v="2026-05-16 23:39:33.178000+00:00"/>
    <n v="1.77897475816893E+18"/>
    <n v="0.35372935079601098"/>
    <n v="0.29997695554524101"/>
    <n v="6.6538111989999997"/>
    <n v="0.35372935079601098"/>
    <n v="1.7789747581688801E+18"/>
    <n v="0.31882352941176401"/>
    <n v="1.7789747656419999E+18"/>
    <n v="1.77897426154211E+18"/>
    <n v="494.0431660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andwriting/ --model_id Handwriting --model TimesNet --data UEA --e_layers 3 --batch_size 32 --d_model 128 --d_ff 256 --top_k 3 --des Exp --itr 1 --learning_rate 0.001 --train_epochs 1000 --patience 10 --seed 42 --id b9b667b57aab5220de9cd8da649c631b714442dc11d31f31a26fb4e17200114c"/>
    <n v="1"/>
    <b v="0"/>
    <b v="0"/>
    <s v="M"/>
    <n v="3"/>
    <b v="0"/>
    <n v="26"/>
    <n v="0"/>
    <n v="0"/>
    <b v="0"/>
    <n v="1E-3"/>
    <n v="256"/>
    <b v="1"/>
    <n v="1"/>
    <n v="3"/>
    <n v="0.1"/>
    <n v="0.1"/>
    <b v="0"/>
    <n v="32"/>
    <n v="42"/>
    <n v="1"/>
    <n v="16"/>
    <s v="./dataset/Handwriting/"/>
    <s v="Monthly"/>
    <n v="10"/>
    <b v="0"/>
    <s v="classification"/>
    <s v="b9b667b57aab5220de9cd8da649c631b714442dc11d31f31a26fb4e17200114c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andwriting', model='TimesNet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b9b667b57aab5220de9cd8da649c631b714442dc11d31f31a26fb4e17200114c', device=device(type='cuda', index=0), num_class=26)"/>
    <x v="1"/>
    <s v="classification_Handwriting_TimesNet_UEA_ftM_sl152_ll48_pl0_dm128_nh8_el3_dl1_df256_expand2_dc4_fc1_ebtimeF_dtTrue_Exp_0b9b667b57aab5220de9cd8da649c631b714442dc11d31f31a26fb4e17200114c"/>
    <s v="None"/>
    <n v="15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21a8dac86b548ab913dd4eb502d5781', 'MLFLOW_TRACKING_USERNAME': 'sunwu', 'MLFLOW_TRACKING_PASSWORD': 'sunwu520yxq.....', 'MLFLOW_TRACKING_URI': 'https://mlflow.gwusun.top', 'MLFLOW_EXPERIMENT_ID': '32', 'KMP_DUPLICATE_LIB_OK': 'True', 'KMP_INIT_AT_FORK': 'FALSE', 'TRAIN_START': '1778974261542119243', 'TORCHINDUCTOR_CACHE_DIR': '/tmp/torchinductor_root', 'TRAIN_END': '1778974758168885753', 'TEST_START': '1778974758168935942', 'TEST_END': '1778974765642002147'}"/>
    <n v="7"/>
    <s v="[128, 128]"/>
    <n v="0"/>
    <s v="Handwriting"/>
    <s v="moving_avg"/>
    <s v="b9b667b57aab5220de9cd8da649c631b714442dc11d31f31a26fb4e17200114c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andwriting_TimesNet_UEA_ftM_sl152_ll48_pl0_dm128_nh8_el3_dl1_df256_expand2_dc4_fc1_ebtimeF_dtTrue_Exp_0b9b667b57aab5220de9cd8da649c631b714442dc11d31f31a26fb4e17200114c"/>
    <s v="run.py"/>
    <s v="sunwu"/>
    <x v="7"/>
    <x v="87"/>
  </r>
  <r>
    <s v="875d0a2a120f4006a7a2b9842d78803b"/>
    <n v="32"/>
    <s v="FINISHED"/>
    <s v="mlflow-artifacts:/32/875d0a2a120f4006a7a2b9842d78803b/artifacts"/>
    <s v="2026-05-16 23:30:47.686000+00:00"/>
    <s v="2026-05-16 23:30:50.871000+00:00"/>
    <n v="1.7789742390362199E+18"/>
    <n v="0.327664243485495"/>
    <n v="0.29052817161741301"/>
    <n v="8.0389972529999998"/>
    <n v="0.327664243485495"/>
    <n v="1.77897423903618E+18"/>
    <n v="0.32319391634980899"/>
    <n v="1.7789742476323E+18"/>
    <n v="1.77897355628846E+18"/>
    <n v="679.99138219999998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EthanolConcentration/ --model_id EthanolConcentration --model TimesNet --data UEA --e_layers 3 --batch_size 32 --d_model 128 --d_ff 256 --top_k 3 --des Exp --itr 1 --learning_rate 0.001 --train_epochs 1000 --patience 10 --seed 42 --id 92f7a35c54b5d0edf5736ac94d13538356092711e166966814735d4f1120d4e5"/>
    <n v="1"/>
    <b v="0"/>
    <b v="0"/>
    <s v="M"/>
    <n v="3"/>
    <b v="0"/>
    <n v="4"/>
    <n v="0"/>
    <n v="0"/>
    <b v="0"/>
    <n v="1E-3"/>
    <n v="256"/>
    <b v="1"/>
    <n v="1"/>
    <n v="3"/>
    <n v="0.1"/>
    <n v="0.1"/>
    <b v="0"/>
    <n v="32"/>
    <n v="42"/>
    <n v="1"/>
    <n v="16"/>
    <s v="./dataset/EthanolConcentration/"/>
    <s v="Monthly"/>
    <n v="10"/>
    <b v="0"/>
    <s v="classification"/>
    <s v="92f7a35c54b5d0edf5736ac94d13538356092711e166966814735d4f1120d4e5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EthanolConcentration', model='TimesNet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92f7a35c54b5d0edf5736ac94d13538356092711e166966814735d4f1120d4e5', device=device(type='cuda', index=0), num_class=4)"/>
    <x v="1"/>
    <s v="classification_EthanolConcentration_TimesNet_UEA_ftM_sl1751_ll48_pl0_dm128_nh8_el3_dl1_df256_expand2_dc4_fc1_ebtimeF_dtTrue_Exp_092f7a35c54b5d0edf5736ac94d13538356092711e166966814735d4f1120d4e5"/>
    <s v="None"/>
    <n v="1751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f03fd367ebf645b5a8b7c99d0e27ed9a', 'MLFLOW_TRACKING_USERNAME': 'sunwu', 'MLFLOW_TRACKING_PASSWORD': 'sunwu520yxq.....', 'MLFLOW_TRACKING_URI': 'https://mlflow.gwusun.top', 'MLFLOW_EXPERIMENT_ID': '32', 'KMP_DUPLICATE_LIB_OK': 'True', 'KMP_INIT_AT_FORK': 'FALSE', 'TRAIN_START': '1778973556288465690', 'TORCHINDUCTOR_CACHE_DIR': '/tmp/torchinductor_root', 'TRAIN_END': '1778974239036186944', 'TEST_START': '1778974239036229352', 'TEST_END': '1778974247632304147'}"/>
    <n v="7"/>
    <s v="[128, 128]"/>
    <n v="0"/>
    <s v="EthanolConcentration"/>
    <s v="moving_avg"/>
    <s v="92f7a35c54b5d0edf5736ac94d13538356092711e166966814735d4f1120d4e5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EthanolConcentration_TimesNet_UEA_ftM_sl1751_ll48_pl0_dm128_nh8_el3_dl1_df256_expand2_dc4_fc1_ebtimeF_dtTrue_Exp_092f7a35c54b5d0edf5736ac94d13538356092711e166966814735d4f1120d4e5"/>
    <s v="run.py"/>
    <s v="sunwu"/>
    <x v="8"/>
    <x v="88"/>
  </r>
  <r>
    <s v="b399d82bae4f44f79692d063843e3482"/>
    <n v="32"/>
    <s v="FINISHED"/>
    <s v="mlflow-artifacts:/32/b399d82bae4f44f79692d063843e3482/artifacts"/>
    <s v="2026-05-16 23:19:34.629000+00:00"/>
    <s v="2026-05-16 23:19:37.880000+00:00"/>
    <n v="1.7789735365191301E+18"/>
    <n v="0.84270478237241198"/>
    <n v="0.82722924365415296"/>
    <n v="1.6902246700000001"/>
    <n v="0.84270478237241198"/>
    <n v="1.77897353651905E+18"/>
    <n v="0.82658959537572196"/>
    <n v="1.77897357457742E+18"/>
    <n v="1.7789722079050299E+18"/>
    <n v="456.4814652499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PEMS-SF/ --model_id PEMS-SF --model TimesNet --data UEA --e_layers 3 --batch_size 32 --d_model 128 --d_ff 256 --top_k 3 --des Exp --itr 1 --learning_rate 0.001 --train_epochs 1000 --patience 10 --seed 7 --id c5b5e04f7c01ccfe0f61bdb1516a4d1a33c4f9a2f9f61a9c2c01c321b98149e9"/>
    <n v="1"/>
    <b v="0"/>
    <b v="0"/>
    <s v="M"/>
    <n v="3"/>
    <b v="0"/>
    <n v="7"/>
    <n v="0"/>
    <n v="0"/>
    <b v="0"/>
    <n v="1E-3"/>
    <n v="256"/>
    <b v="1"/>
    <n v="1"/>
    <n v="3"/>
    <n v="0.1"/>
    <n v="0.1"/>
    <b v="0"/>
    <n v="32"/>
    <n v="7"/>
    <n v="1"/>
    <n v="16"/>
    <s v="./dataset/PEMS-SF/"/>
    <s v="Monthly"/>
    <n v="10"/>
    <b v="0"/>
    <s v="classification"/>
    <s v="c5b5e04f7c01ccfe0f61bdb1516a4d1a33c4f9a2f9f61a9c2c01c321b98149e9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PEMS-SF', model='TimesNet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c5b5e04f7c01ccfe0f61bdb1516a4d1a33c4f9a2f9f61a9c2c01c321b98149e9', device=device(type='cuda', index=0), num_class=7)"/>
    <x v="1"/>
    <s v="classification_PEMS-SF_TimesNet_UEA_ftM_sl144_ll48_pl0_dm128_nh8_el3_dl1_df256_expand2_dc4_fc1_ebtimeF_dtTrue_Exp_0c5b5e04f7c01ccfe0f61bdb1516a4d1a33c4f9a2f9f61a9c2c01c321b98149e9"/>
    <s v="None"/>
    <n v="144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3f9b433079114c9784ead70093be56fc', 'MLFLOW_TRACKING_USERNAME': 'sunwu', 'MLFLOW_TRACKING_PASSWORD': 'sunwu520yxq.....', 'MLFLOW_TRACKING_URI': 'https://mlflow.gwusun.top', 'MLFLOW_EXPERIMENT_ID': '32', 'KMP_DUPLICATE_LIB_OK': 'True', 'KMP_INIT_AT_FORK': 'FALSE', 'TRAIN_START': '1778972207905030986', 'TORCHINDUCTOR_CACHE_DIR': '/tmp/torchinductor_root', 'TRAIN_END': '1778973536519052355', 'TEST_START': '1778973536519134374', 'TEST_END': '1778973574577423234'}"/>
    <n v="7"/>
    <s v="[128, 128]"/>
    <n v="0"/>
    <s v="PEMS-SF"/>
    <s v="moving_avg"/>
    <s v="c5b5e04f7c01ccfe0f61bdb1516a4d1a33c4f9a2f9f61a9c2c01c321b98149e9"/>
    <n v="96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PEMS-SF_TimesNet_UEA_ftM_sl144_ll48_pl0_dm128_nh8_el3_dl1_df256_expand2_dc4_fc1_ebtimeF_dtTrue_Exp_0c5b5e04f7c01ccfe0f61bdb1516a4d1a33c4f9a2f9f61a9c2c01c321b98149e9"/>
    <s v="run.py"/>
    <s v="sunwu"/>
    <x v="0"/>
    <x v="89"/>
  </r>
  <r>
    <s v="875ddfdb0580491a90c5f1dab0e67626"/>
    <n v="32"/>
    <s v="FINISHED"/>
    <s v="mlflow-artifacts:/32/875ddfdb0580491a90c5f1dab0e67626/artifacts"/>
    <s v="2026-05-16 23:18:59.988000+00:00"/>
    <s v="2026-05-16 23:19:03.125000+00:00"/>
    <n v="1.77897353610225E+18"/>
    <n v="0.87794405777958395"/>
    <n v="0.86536798567286299"/>
    <n v="3.5125969690000001"/>
    <n v="0.87794405777958395"/>
    <n v="1.7789735361021901E+18"/>
    <n v="0.86250000000000004"/>
    <n v="1.77897353992223E+18"/>
    <n v="1.7789732581736901E+18"/>
    <n v="275.948646274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UWaveGestureLibrary/ --model_id UWaveGestureLibrary --model TimesNet --data UEA --e_layers 3 --batch_size 32 --d_model 128 --d_ff 256 --top_k 3 --des Exp --itr 1 --learning_rate 0.001 --train_epochs 1000 --patience 10 --seed 42 --id d07347555bb6af3035fc9f5e1540f808148abda9a8cce9b0bb621123d686e47b"/>
    <n v="1"/>
    <b v="0"/>
    <b v="0"/>
    <s v="M"/>
    <n v="3"/>
    <b v="0"/>
    <n v="8"/>
    <n v="0"/>
    <n v="0"/>
    <b v="0"/>
    <n v="1E-3"/>
    <n v="256"/>
    <b v="1"/>
    <n v="1"/>
    <n v="3"/>
    <n v="0.1"/>
    <n v="0.1"/>
    <b v="0"/>
    <n v="32"/>
    <n v="42"/>
    <n v="1"/>
    <n v="16"/>
    <s v="./dataset/UWaveGestureLibrary/"/>
    <s v="Monthly"/>
    <n v="10"/>
    <b v="0"/>
    <s v="classification"/>
    <s v="d07347555bb6af3035fc9f5e1540f808148abda9a8cce9b0bb621123d686e47b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UWaveGestureLibrary', model='TimesNet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d07347555bb6af3035fc9f5e1540f808148abda9a8cce9b0bb621123d686e47b', device=device(type='cuda', index=0), num_class=8)"/>
    <x v="1"/>
    <s v="classification_UWaveGestureLibrary_TimesNet_UEA_ftM_sl315_ll48_pl0_dm128_nh8_el3_dl1_df256_expand2_dc4_fc1_ebtimeF_dtTrue_Exp_0d07347555bb6af3035fc9f5e1540f808148abda9a8cce9b0bb621123d686e47b"/>
    <s v="None"/>
    <n v="315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7759df5ba1b046be98be5912a63b4005', 'MLFLOW_TRACKING_USERNAME': 'sunwu', 'MLFLOW_TRACKING_PASSWORD': 'sunwu520yxq.....', 'MLFLOW_TRACKING_URI': 'https://mlflow.gwusun.top', 'MLFLOW_EXPERIMENT_ID': '32', 'KMP_DUPLICATE_LIB_OK': 'True', 'KMP_INIT_AT_FORK': 'FALSE', 'TRAIN_START': '1778973258173691093', 'TORCHINDUCTOR_CACHE_DIR': '/tmp/torchinductor_root', 'TRAIN_END': '1778973536102198331', 'TEST_START': '1778973536102254025', 'TEST_END': '1778973539922232237'}"/>
    <n v="7"/>
    <s v="[128, 128]"/>
    <n v="0"/>
    <s v="UWaveGestureLibrary"/>
    <s v="moving_avg"/>
    <s v="d07347555bb6af3035fc9f5e1540f808148abda9a8cce9b0bb621123d686e47b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UWaveGestureLibrary_TimesNet_UEA_ftM_sl315_ll48_pl0_dm128_nh8_el3_dl1_df256_expand2_dc4_fc1_ebtimeF_dtTrue_Exp_0d07347555bb6af3035fc9f5e1540f808148abda9a8cce9b0bb621123d686e47b"/>
    <s v="run.py"/>
    <s v="sunwu"/>
    <x v="9"/>
    <x v="90"/>
  </r>
  <r>
    <s v="02de0b835c564153beeaf9001e410eee"/>
    <n v="32"/>
    <s v="FINISHED"/>
    <s v="mlflow-artifacts:/32/02de0b835c564153beeaf9001e410eee/artifacts"/>
    <s v="2026-05-16 23:14:04.701000+00:00"/>
    <s v="2026-05-16 23:14:08.093000+00:00"/>
    <n v="1.77897322786845E+18"/>
    <n v="0.99056694728674899"/>
    <n v="0.990432864175669"/>
    <n v="12.240408103"/>
    <n v="0.99056694728674899"/>
    <n v="1.7789732278684001E+18"/>
    <n v="0.990450204638472"/>
    <n v="1.7789732446503199E+18"/>
    <n v="1.77897070138638E+18"/>
    <n v="2494.841250150000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pokenArabicDigits/ --model_id SpokenArabicDigits --model TimesNet --data UEA --e_layers 3 --batch_size 32 --d_model 128 --d_ff 256 --top_k 3 --des Exp --itr 1 --learning_rate 0.001 --train_epochs 1000 --patience 10 --seed 7 --id 06de48ebf534c3e0aea48f4dcae7b3c02b6133e54cb30b9cc00640464652887f"/>
    <n v="1"/>
    <b v="0"/>
    <b v="0"/>
    <s v="M"/>
    <n v="3"/>
    <b v="0"/>
    <n v="10"/>
    <n v="0"/>
    <n v="0"/>
    <b v="0"/>
    <n v="1E-3"/>
    <n v="256"/>
    <b v="1"/>
    <n v="1"/>
    <n v="3"/>
    <n v="0.1"/>
    <n v="0.1"/>
    <b v="0"/>
    <n v="32"/>
    <n v="7"/>
    <n v="1"/>
    <n v="16"/>
    <s v="./dataset/SpokenArabicDigits/"/>
    <s v="Monthly"/>
    <n v="10"/>
    <b v="0"/>
    <s v="classification"/>
    <s v="06de48ebf534c3e0aea48f4dcae7b3c02b6133e54cb30b9cc00640464652887f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pokenArabicDigits', model='TimesNet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06de48ebf534c3e0aea48f4dcae7b3c02b6133e54cb30b9cc00640464652887f', device=device(type='cuda', index=0), num_class=10)"/>
    <x v="1"/>
    <s v="classification_SpokenArabicDigits_TimesNet_UEA_ftM_sl93_ll48_pl0_dm128_nh8_el3_dl1_df256_expand2_dc4_fc1_ebtimeF_dtTrue_Exp_006de48ebf534c3e0aea48f4dcae7b3c02b6133e54cb30b9cc00640464652887f"/>
    <s v="None"/>
    <n v="93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55ceecb467024b3a9f1805495b0025cc', 'MLFLOW_TRACKING_USERNAME': 'sunwu', 'MLFLOW_TRACKING_PASSWORD': 'sunwu520yxq.....', 'MLFLOW_TRACKING_URI': 'https://mlflow.gwusun.top', 'MLFLOW_EXPERIMENT_ID': '32', 'KMP_DUPLICATE_LIB_OK': 'True', 'KMP_INIT_AT_FORK': 'FALSE', 'TRAIN_START': '1778970701386386438', 'TORCHINDUCTOR_CACHE_DIR': '/tmp/torchinductor_root', 'TRAIN_END': '1778973227868404932', 'TEST_START': '1778973227868457097', 'TEST_END': '1778973244650321106'}"/>
    <n v="7"/>
    <s v="[128, 128]"/>
    <n v="0"/>
    <s v="SpokenArabicDigits"/>
    <s v="moving_avg"/>
    <s v="06de48ebf534c3e0aea48f4dcae7b3c02b6133e54cb30b9cc00640464652887f"/>
    <n v="1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pokenArabicDigits_TimesNet_UEA_ftM_sl93_ll48_pl0_dm128_nh8_el3_dl1_df256_expand2_dc4_fc1_ebtimeF_dtTrue_Exp_006de48ebf534c3e0aea48f4dcae7b3c02b6133e54cb30b9cc00640464652887f"/>
    <s v="run.py"/>
    <s v="sunwu"/>
    <x v="1"/>
    <x v="91"/>
  </r>
  <r>
    <s v="51b0fcdea46e4605baff73554f42d527"/>
    <n v="32"/>
    <s v="FINISHED"/>
    <s v="mlflow-artifacts:/32/51b0fcdea46e4605baff73554f42d527/artifacts"/>
    <s v="2026-05-16 22:34:49.985000+00:00"/>
    <s v="2026-05-16 22:34:53.249000+00:00"/>
    <n v="1.7789708789056399E+18"/>
    <n v="0.53912557446279896"/>
    <n v="0.53819047324657598"/>
    <n v="5.491174118"/>
    <n v="0.53912557446279896"/>
    <n v="1.7789708789055501E+18"/>
    <n v="0.53888888888888797"/>
    <n v="1.7789708899003699E+18"/>
    <n v="1.77897065830528E+18"/>
    <n v="216.988215746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2/ --model_id SelfRegulationSCP2 --model TimesNet --data UEA --e_layers 3 --batch_size 32 --d_model 128 --d_ff 256 --top_k 3 --des Exp --itr 1 --learning_rate 0.001 --train_epochs 1000 --patience 10 --seed 7 --id dc685ba0fee7bb2ddb4ad777db254ad1c3dfadd5de7ccf9376e5329c80243ae9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7"/>
    <n v="1"/>
    <n v="16"/>
    <s v="./dataset/SelfRegulationSCP2/"/>
    <s v="Monthly"/>
    <n v="10"/>
    <b v="0"/>
    <s v="classification"/>
    <s v="dc685ba0fee7bb2ddb4ad777db254ad1c3dfadd5de7ccf9376e5329c80243ae9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2', model='TimesNet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dc685ba0fee7bb2ddb4ad777db254ad1c3dfadd5de7ccf9376e5329c80243ae9', device=device(type='cuda', index=0), num_class=2)"/>
    <x v="1"/>
    <s v="classification_SelfRegulationSCP2_TimesNet_UEA_ftM_sl1152_ll48_pl0_dm128_nh8_el3_dl1_df256_expand2_dc4_fc1_ebtimeF_dtTrue_Exp_0dc685ba0fee7bb2ddb4ad777db254ad1c3dfadd5de7ccf9376e5329c80243ae9"/>
    <s v="None"/>
    <n v="115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050260b714d9403da1536005769ad774', 'MLFLOW_TRACKING_USERNAME': 'sunwu', 'MLFLOW_TRACKING_PASSWORD': 'sunwu520yxq.....', 'MLFLOW_TRACKING_URI': 'https://mlflow.gwusun.top', 'MLFLOW_EXPERIMENT_ID': '32', 'KMP_DUPLICATE_LIB_OK': 'True', 'KMP_INIT_AT_FORK': 'FALSE', 'TRAIN_START': '1778970658305280468', 'TORCHINDUCTOR_CACHE_DIR': '/tmp/torchinductor_root', 'TRAIN_END': '1778970878905556364', 'TEST_START': '1778970878905640079', 'TEST_END': '1778970889900379185'}"/>
    <n v="7"/>
    <s v="[128, 128]"/>
    <n v="0"/>
    <s v="SelfRegulationSCP2"/>
    <s v="moving_avg"/>
    <s v="dc685ba0fee7bb2ddb4ad777db254ad1c3dfadd5de7ccf9376e5329c80243ae9"/>
    <n v="7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2_TimesNet_UEA_ftM_sl1152_ll48_pl0_dm128_nh8_el3_dl1_df256_expand2_dc4_fc1_ebtimeF_dtTrue_Exp_0dc685ba0fee7bb2ddb4ad777db254ad1c3dfadd5de7ccf9376e5329c80243ae9"/>
    <s v="run.py"/>
    <s v="sunwu"/>
    <x v="3"/>
    <x v="92"/>
  </r>
  <r>
    <s v="eb83bdd04a15477eb32701bd8fc65e23"/>
    <n v="32"/>
    <s v="FINISHED"/>
    <s v="mlflow-artifacts:/32/eb83bdd04a15477eb32701bd8fc65e23/artifacts"/>
    <s v="2026-05-16 22:30:54.698000+00:00"/>
    <s v="2026-05-16 22:30:57.768000+00:00"/>
    <n v="1.77897065189359E+18"/>
    <n v="0.98668985969470102"/>
    <n v="0.98646742401535503"/>
    <n v="1.9948505430000001"/>
    <n v="0.98668985969470102"/>
    <n v="1.7789706518935401E+18"/>
    <n v="0.98648648648648596"/>
    <n v="1.77897065464653E+18"/>
    <n v="1.77897019678466E+18"/>
    <n v="452.31530922399998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JapaneseVowels/ --model_id JapaneseVowels --model TimesNet --data UEA --e_layers 3 --batch_size 32 --d_model 128 --d_ff 256 --top_k 3 --des Exp --itr 1 --learning_rate 0.001 --train_epochs 1000 --patience 10 --seed 7 --id ad94efc7fab72b05bf44eaec6dc3186e0f9db574dc634c0b0b487522910ee336"/>
    <n v="1"/>
    <b v="0"/>
    <b v="0"/>
    <s v="M"/>
    <n v="3"/>
    <b v="0"/>
    <n v="9"/>
    <n v="0"/>
    <n v="0"/>
    <b v="0"/>
    <n v="1E-3"/>
    <n v="256"/>
    <b v="1"/>
    <n v="1"/>
    <n v="3"/>
    <n v="0.1"/>
    <n v="0.1"/>
    <b v="0"/>
    <n v="32"/>
    <n v="7"/>
    <n v="1"/>
    <n v="16"/>
    <s v="./dataset/JapaneseVowels/"/>
    <s v="Monthly"/>
    <n v="10"/>
    <b v="0"/>
    <s v="classification"/>
    <s v="ad94efc7fab72b05bf44eaec6dc3186e0f9db574dc634c0b0b487522910ee336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JapaneseVowels', model='TimesNet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ad94efc7fab72b05bf44eaec6dc3186e0f9db574dc634c0b0b487522910ee336', device=device(type='cuda', index=0), num_class=9)"/>
    <x v="1"/>
    <s v="classification_JapaneseVowels_TimesNet_UEA_ftM_sl29_ll48_pl0_dm128_nh8_el3_dl1_df256_expand2_dc4_fc1_ebtimeF_dtTrue_Exp_0ad94efc7fab72b05bf44eaec6dc3186e0f9db574dc634c0b0b487522910ee336"/>
    <s v="None"/>
    <n v="29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ea610b91bd9445a580b53dc3d520898f', 'MLFLOW_TRACKING_USERNAME': 'sunwu', 'MLFLOW_TRACKING_PASSWORD': 'sunwu520yxq.....', 'MLFLOW_TRACKING_URI': 'https://mlflow.gwusun.top', 'MLFLOW_EXPERIMENT_ID': '32', 'KMP_DUPLICATE_LIB_OK': 'True', 'KMP_INIT_AT_FORK': 'FALSE', 'TRAIN_START': '1778970196784666231', 'TORCHINDUCTOR_CACHE_DIR': '/tmp/torchinductor_root', 'TRAIN_END': '1778970651893546450', 'TEST_START': '1778970651893594196', 'TEST_END': '1778970654646535111'}"/>
    <n v="7"/>
    <s v="[128, 128]"/>
    <n v="0"/>
    <s v="JapaneseVowels"/>
    <s v="moving_avg"/>
    <s v="ad94efc7fab72b05bf44eaec6dc3186e0f9db574dc634c0b0b487522910ee336"/>
    <n v="12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JapaneseVowels_TimesNet_UEA_ftM_sl29_ll48_pl0_dm128_nh8_el3_dl1_df256_expand2_dc4_fc1_ebtimeF_dtTrue_Exp_0ad94efc7fab72b05bf44eaec6dc3186e0f9db574dc634c0b0b487522910ee336"/>
    <s v="run.py"/>
    <s v="sunwu"/>
    <x v="5"/>
    <x v="93"/>
  </r>
  <r>
    <s v="644f69b3d21e40e391eeb6444daa1f3b"/>
    <n v="32"/>
    <s v="FINISHED"/>
    <s v="mlflow-artifacts:/32/644f69b3d21e40e391eeb6444daa1f3b/artifacts"/>
    <s v="2026-05-16 22:30:16.878000+00:00"/>
    <s v="2026-05-16 22:30:20.197000+00:00"/>
    <n v="1.77897060469952E+18"/>
    <n v="0.89768027527722405"/>
    <n v="0.89760376476276105"/>
    <n v="7.4554458099999996"/>
    <n v="0.89768027527722405"/>
    <n v="1.7789706046994801E+18"/>
    <n v="0.89761092150170596"/>
    <n v="1.77897061668195E+18"/>
    <n v="1.77897022238495E+18"/>
    <n v="379.412639754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1/ --model_id SelfRegulationSCP1 --model TimesNet --data UEA --e_layers 3 --batch_size 32 --d_model 128 --d_ff 256 --top_k 3 --des Exp --itr 1 --learning_rate 0.001 --train_epochs 1000 --patience 10 --seed 7 --id b4264b05eb724d0fb2adb0b8054cb898950f5270916b479da420ec29456e8bda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7"/>
    <n v="1"/>
    <n v="16"/>
    <s v="./dataset/SelfRegulationSCP1/"/>
    <s v="Monthly"/>
    <n v="10"/>
    <b v="0"/>
    <s v="classification"/>
    <s v="b4264b05eb724d0fb2adb0b8054cb898950f5270916b479da420ec29456e8bda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1', model='TimesNet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b4264b05eb724d0fb2adb0b8054cb898950f5270916b479da420ec29456e8bda', device=device(type='cuda', index=0), num_class=2)"/>
    <x v="1"/>
    <s v="classification_SelfRegulationSCP1_TimesNet_UEA_ftM_sl896_ll48_pl0_dm128_nh8_el3_dl1_df256_expand2_dc4_fc1_ebtimeF_dtTrue_Exp_0b4264b05eb724d0fb2adb0b8054cb898950f5270916b479da420ec29456e8bda"/>
    <s v="None"/>
    <n v="896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2f2b765278f2439a9f4d899a10ccbe7e', 'MLFLOW_TRACKING_USERNAME': 'sunwu', 'MLFLOW_TRACKING_PASSWORD': 'sunwu520yxq.....', 'MLFLOW_TRACKING_URI': 'https://mlflow.gwusun.top', 'MLFLOW_EXPERIMENT_ID': '32', 'KMP_DUPLICATE_LIB_OK': 'True', 'KMP_INIT_AT_FORK': 'FALSE', 'TRAIN_START': '1778970222384958623', 'TORCHINDUCTOR_CACHE_DIR': '/tmp/torchinductor_root', 'TRAIN_END': '1778970604699484074', 'TEST_START': '1778970604699529508', 'TEST_END': '1778970616681957902'}"/>
    <n v="7"/>
    <s v="[128, 128]"/>
    <n v="0"/>
    <s v="SelfRegulationSCP1"/>
    <s v="moving_avg"/>
    <s v="b4264b05eb724d0fb2adb0b8054cb898950f5270916b479da420ec29456e8bda"/>
    <n v="6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1_TimesNet_UEA_ftM_sl896_ll48_pl0_dm128_nh8_el3_dl1_df256_expand2_dc4_fc1_ebtimeF_dtTrue_Exp_0b4264b05eb724d0fb2adb0b8054cb898950f5270916b479da420ec29456e8bda"/>
    <s v="run.py"/>
    <s v="sunwu"/>
    <x v="4"/>
    <x v="94"/>
  </r>
  <r>
    <s v="28774d613a494db08b778e3b0141fcdf"/>
    <n v="32"/>
    <s v="FINISHED"/>
    <s v="mlflow-artifacts:/32/28774d613a494db08b778e3b0141fcdf/artifacts"/>
    <s v="2026-05-16 22:23:15.232000+00:00"/>
    <s v="2026-05-16 22:23:18.347000+00:00"/>
    <n v="1.7789700004516101E+18"/>
    <n v="0.65948138651419697"/>
    <n v="0.65816850354400303"/>
    <n v="18.627195507"/>
    <n v="0.65948138651419697"/>
    <n v="1.77897000045155E+18"/>
    <n v="0.65862656072644699"/>
    <n v="1.77897019517555E+18"/>
    <n v="1.77896792930147E+18"/>
    <n v="1699.07487485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FaceDetection/ --model_id FaceDetection --model TimesNet --data UEA --e_layers 3 --batch_size 32 --d_model 128 --d_ff 256 --top_k 3 --des Exp --itr 1 --learning_rate 0.001 --train_epochs 1000 --patience 10 --seed 7 --id 284bc550a7c47ef8e13436f9581342b6947d67cfe949749127ab24eb47da119f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7"/>
    <n v="1"/>
    <n v="16"/>
    <s v="./dataset/FaceDetection/"/>
    <s v="Monthly"/>
    <n v="10"/>
    <b v="0"/>
    <s v="classification"/>
    <s v="284bc550a7c47ef8e13436f9581342b6947d67cfe949749127ab24eb47da119f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FaceDetection', model='TimesNet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284bc550a7c47ef8e13436f9581342b6947d67cfe949749127ab24eb47da119f', device=device(type='cuda', index=0), num_class=2)"/>
    <x v="1"/>
    <s v="classification_FaceDetection_TimesNet_UEA_ftM_sl62_ll48_pl0_dm128_nh8_el3_dl1_df256_expand2_dc4_fc1_ebtimeF_dtTrue_Exp_0284bc550a7c47ef8e13436f9581342b6947d67cfe949749127ab24eb47da119f"/>
    <s v="None"/>
    <n v="6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39313548a9d341299fe205a56be0d836', 'MLFLOW_TRACKING_USERNAME': 'sunwu', 'MLFLOW_TRACKING_PASSWORD': 'sunwu520yxq.....', 'MLFLOW_TRACKING_URI': 'https://mlflow.gwusun.top', 'MLFLOW_EXPERIMENT_ID': '32', 'KMP_DUPLICATE_LIB_OK': 'True', 'KMP_INIT_AT_FORK': 'FALSE', 'TRAIN_START': '1778967929301470297', 'TORCHINDUCTOR_CACHE_DIR': '/tmp/torchinductor_root', 'TRAIN_END': '1778970000451559585', 'TEST_START': '1778970000451611371', 'TEST_END': '1778970195175559296'}"/>
    <n v="7"/>
    <s v="[128, 128]"/>
    <n v="0"/>
    <s v="FaceDetection"/>
    <s v="moving_avg"/>
    <s v="284bc550a7c47ef8e13436f9581342b6947d67cfe949749127ab24eb47da119f"/>
    <n v="144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FaceDetection_TimesNet_UEA_ftM_sl62_ll48_pl0_dm128_nh8_el3_dl1_df256_expand2_dc4_fc1_ebtimeF_dtTrue_Exp_0284bc550a7c47ef8e13436f9581342b6947d67cfe949749127ab24eb47da119f"/>
    <s v="run.py"/>
    <s v="sunwu"/>
    <x v="2"/>
    <x v="95"/>
  </r>
  <r>
    <s v="da104b7c4a2d468ca55941d7f07ed8c3"/>
    <n v="32"/>
    <s v="FINISHED"/>
    <s v="mlflow-artifacts:/32/da104b7c4a2d468ca55941d7f07ed8c3/artifacts"/>
    <s v="2026-05-16 22:22:47.177000+00:00"/>
    <s v="2026-05-16 22:22:50.696000+00:00"/>
    <n v="1.7789701614766799E+18"/>
    <n v="0.75935520819296598"/>
    <n v="0.73552716479545699"/>
    <n v="2.6978366139999999"/>
    <n v="0.75935520819296598"/>
    <n v="1.77897016147663E+18"/>
    <n v="0.77073170731707297"/>
    <n v="1.77897016711598E+18"/>
    <n v="1.77897000418848E+18"/>
    <n v="148.186270635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eartbeat/ --model_id Heartbeat --model TimesNet --data UEA --e_layers 3 --batch_size 32 --d_model 128 --d_ff 256 --top_k 3 --des Exp --itr 1 --learning_rate 0.001 --train_epochs 1000 --patience 10 --seed 7 --id ae60dbdb9a012498e2065185b7d5efdcd1244ed9aaafa5e3062b7ec90659b7a8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7"/>
    <n v="1"/>
    <n v="16"/>
    <s v="./dataset/Heartbeat/"/>
    <s v="Monthly"/>
    <n v="10"/>
    <b v="0"/>
    <s v="classification"/>
    <s v="ae60dbdb9a012498e2065185b7d5efdcd1244ed9aaafa5e3062b7ec90659b7a8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eartbeat', model='TimesNet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ae60dbdb9a012498e2065185b7d5efdcd1244ed9aaafa5e3062b7ec90659b7a8', device=device(type='cuda', index=0), num_class=2)"/>
    <x v="1"/>
    <s v="classification_Heartbeat_TimesNet_UEA_ftM_sl405_ll48_pl0_dm128_nh8_el3_dl1_df256_expand2_dc4_fc1_ebtimeF_dtTrue_Exp_0ae60dbdb9a012498e2065185b7d5efdcd1244ed9aaafa5e3062b7ec90659b7a8"/>
    <s v="None"/>
    <n v="405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92d8e78a63df472ba38a8083e26058c4', 'MLFLOW_TRACKING_USERNAME': 'sunwu', 'MLFLOW_TRACKING_PASSWORD': 'sunwu520yxq.....', 'MLFLOW_TRACKING_URI': 'https://mlflow.gwusun.top', 'MLFLOW_EXPERIMENT_ID': '32', 'KMP_DUPLICATE_LIB_OK': 'True', 'KMP_INIT_AT_FORK': 'FALSE', 'TRAIN_START': '1778970004188489791', 'TORCHINDUCTOR_CACHE_DIR': '/tmp/torchinductor_root', 'TRAIN_END': '1778970161476632809', 'TEST_START': '1778970161476689527', 'TEST_END': '1778970167115982755'}"/>
    <n v="7"/>
    <s v="[128, 128]"/>
    <n v="0"/>
    <s v="Heartbeat"/>
    <s v="moving_avg"/>
    <s v="ae60dbdb9a012498e2065185b7d5efdcd1244ed9aaafa5e3062b7ec90659b7a8"/>
    <n v="61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eartbeat_TimesNet_UEA_ftM_sl405_ll48_pl0_dm128_nh8_el3_dl1_df256_expand2_dc4_fc1_ebtimeF_dtTrue_Exp_0ae60dbdb9a012498e2065185b7d5efdcd1244ed9aaafa5e3062b7ec90659b7a8"/>
    <s v="run.py"/>
    <s v="sunwu"/>
    <x v="6"/>
    <x v="96"/>
  </r>
  <r>
    <s v="ac369dcfbd3d4b868cf1010b341146f0"/>
    <n v="32"/>
    <s v="FINISHED"/>
    <s v="mlflow-artifacts:/32/ac369dcfbd3d4b868cf1010b341146f0/artifacts"/>
    <s v="2026-05-16 22:17:09.125000+00:00"/>
    <s v="2026-05-16 22:17:12.579000+00:00"/>
    <n v="1.77896980660465E+18"/>
    <n v="0.356136488218882"/>
    <n v="0.30851089680960803"/>
    <n v="14.342893943"/>
    <n v="0.356136488218882"/>
    <n v="1.7789698066045599E+18"/>
    <n v="0.33058823529411702"/>
    <n v="1.77896982889344E+18"/>
    <n v="1.77896803629118E+18"/>
    <n v="1766.939957315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andwriting/ --model_id Handwriting --model TimesNet --data UEA --e_layers 3 --batch_size 32 --d_model 128 --d_ff 256 --top_k 3 --des Exp --itr 1 --learning_rate 0.001 --train_epochs 1000 --patience 10 --seed 7 --id 570c561ec7a14f997d183a94de409b6269abb4942e856b31da835f806ffb9c79"/>
    <n v="1"/>
    <b v="0"/>
    <b v="0"/>
    <s v="M"/>
    <n v="3"/>
    <b v="0"/>
    <n v="26"/>
    <n v="0"/>
    <n v="0"/>
    <b v="0"/>
    <n v="1E-3"/>
    <n v="256"/>
    <b v="1"/>
    <n v="1"/>
    <n v="3"/>
    <n v="0.1"/>
    <n v="0.1"/>
    <b v="0"/>
    <n v="32"/>
    <n v="7"/>
    <n v="1"/>
    <n v="16"/>
    <s v="./dataset/Handwriting/"/>
    <s v="Monthly"/>
    <n v="10"/>
    <b v="0"/>
    <s v="classification"/>
    <s v="570c561ec7a14f997d183a94de409b6269abb4942e856b31da835f806ffb9c79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andwriting', model='TimesNet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570c561ec7a14f997d183a94de409b6269abb4942e856b31da835f806ffb9c79', device=device(type='cuda', index=0), num_class=26)"/>
    <x v="1"/>
    <s v="classification_Handwriting_TimesNet_UEA_ftM_sl152_ll48_pl0_dm128_nh8_el3_dl1_df256_expand2_dc4_fc1_ebtimeF_dtTrue_Exp_0570c561ec7a14f997d183a94de409b6269abb4942e856b31da835f806ffb9c79"/>
    <s v="None"/>
    <n v="15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087b32cc8a34487ab85ed4eb6aa5cec3', 'MLFLOW_TRACKING_USERNAME': 'sunwu', 'MLFLOW_TRACKING_PASSWORD': 'sunwu520yxq.....', 'MLFLOW_TRACKING_URI': 'https://mlflow.gwusun.top', 'MLFLOW_EXPERIMENT_ID': '32', 'KMP_DUPLICATE_LIB_OK': 'True', 'KMP_INIT_AT_FORK': 'FALSE', 'TRAIN_START': '1778968036291180417', 'TORCHINDUCTOR_CACHE_DIR': '/tmp/torchinductor_root', 'TRAIN_END': '1778969806604569516', 'TEST_START': '1778969806604649980', 'TEST_END': '1778969828893448793'}"/>
    <n v="7"/>
    <s v="[128, 128]"/>
    <n v="0"/>
    <s v="Handwriting"/>
    <s v="moving_avg"/>
    <s v="570c561ec7a14f997d183a94de409b6269abb4942e856b31da835f806ffb9c79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andwriting_TimesNet_UEA_ftM_sl152_ll48_pl0_dm128_nh8_el3_dl1_df256_expand2_dc4_fc1_ebtimeF_dtTrue_Exp_0570c561ec7a14f997d183a94de409b6269abb4942e856b31da835f806ffb9c79"/>
    <s v="run.py"/>
    <s v="sunwu"/>
    <x v="7"/>
    <x v="97"/>
  </r>
  <r>
    <s v="3f3be62a27ae4fc2a2205ad54de2b7f6"/>
    <n v="32"/>
    <s v="FINISHED"/>
    <s v="mlflow-artifacts:/32/3f3be62a27ae4fc2a2205ad54de2b7f6/artifacts"/>
    <s v="2026-05-16 21:47:01.872000+00:00"/>
    <s v="2026-05-16 21:47:05.097000+00:00"/>
    <n v="1.7789680132336699E+18"/>
    <n v="0.22399640171950599"/>
    <n v="0.242371862040619"/>
    <n v="8.0130876030000007"/>
    <n v="0.22399640171950599"/>
    <n v="1.77896801323362E+18"/>
    <n v="0.29657794676805999"/>
    <n v="1.77896802182174E+18"/>
    <n v="1.77896736056081E+18"/>
    <n v="640.0627158610000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EthanolConcentration/ --model_id EthanolConcentration --model TimesNet --data UEA --e_layers 3 --batch_size 32 --d_model 128 --d_ff 256 --top_k 3 --des Exp --itr 1 --learning_rate 0.001 --train_epochs 1000 --patience 10 --seed 7 --id 6087496b3e68761ed797399b1a6dd709fd8e9a3ed4958585f1ec7afcc0058f80"/>
    <n v="1"/>
    <b v="0"/>
    <b v="0"/>
    <s v="M"/>
    <n v="3"/>
    <b v="0"/>
    <n v="4"/>
    <n v="0"/>
    <n v="0"/>
    <b v="0"/>
    <n v="1E-3"/>
    <n v="256"/>
    <b v="1"/>
    <n v="1"/>
    <n v="3"/>
    <n v="0.1"/>
    <n v="0.1"/>
    <b v="0"/>
    <n v="32"/>
    <n v="7"/>
    <n v="1"/>
    <n v="16"/>
    <s v="./dataset/EthanolConcentration/"/>
    <s v="Monthly"/>
    <n v="10"/>
    <b v="0"/>
    <s v="classification"/>
    <s v="6087496b3e68761ed797399b1a6dd709fd8e9a3ed4958585f1ec7afcc0058f80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EthanolConcentration', model='TimesNet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6087496b3e68761ed797399b1a6dd709fd8e9a3ed4958585f1ec7afcc0058f80', device=device(type='cuda', index=0), num_class=4)"/>
    <x v="1"/>
    <s v="classification_EthanolConcentration_TimesNet_UEA_ftM_sl1751_ll48_pl0_dm128_nh8_el3_dl1_df256_expand2_dc4_fc1_ebtimeF_dtTrue_Exp_06087496b3e68761ed797399b1a6dd709fd8e9a3ed4958585f1ec7afcc0058f80"/>
    <s v="None"/>
    <n v="1751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fe47ca0a2b5b4bf09f63c6d9f0d1ec5c', 'MLFLOW_TRACKING_USERNAME': 'sunwu', 'MLFLOW_TRACKING_PASSWORD': 'sunwu520yxq.....', 'MLFLOW_TRACKING_URI': 'https://mlflow.gwusun.top', 'MLFLOW_EXPERIMENT_ID': '32', 'KMP_DUPLICATE_LIB_OK': 'True', 'KMP_INIT_AT_FORK': 'FALSE', 'TRAIN_START': '1778967360560814639', 'TORCHINDUCTOR_CACHE_DIR': '/tmp/torchinductor_root', 'TRAIN_END': '1778968013233624878', 'TEST_START': '1778968013233676489', 'TEST_END': '1778968021821743343'}"/>
    <n v="7"/>
    <s v="[128, 128]"/>
    <n v="0"/>
    <s v="EthanolConcentration"/>
    <s v="moving_avg"/>
    <s v="6087496b3e68761ed797399b1a6dd709fd8e9a3ed4958585f1ec7afcc0058f80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EthanolConcentration_TimesNet_UEA_ftM_sl1751_ll48_pl0_dm128_nh8_el3_dl1_df256_expand2_dc4_fc1_ebtimeF_dtTrue_Exp_06087496b3e68761ed797399b1a6dd709fd8e9a3ed4958585f1ec7afcc0058f80"/>
    <s v="run.py"/>
    <s v="sunwu"/>
    <x v="8"/>
    <x v="98"/>
  </r>
  <r>
    <s v="d1ba472b2c5744779079f6a008b45c44"/>
    <n v="32"/>
    <s v="FINISHED"/>
    <s v="mlflow-artifacts:/32/d1ba472b2c5744779079f6a008b45c44/artifacts"/>
    <s v="2026-05-16 21:36:12.993000+00:00"/>
    <s v="2026-05-16 21:36:17.151000+00:00"/>
    <n v="1.7789673691804001E+18"/>
    <n v="0.86816443648685204"/>
    <n v="0.86467677276500798"/>
    <n v="3.470241916"/>
    <n v="0.86816443648685204"/>
    <n v="1.77896736918033E+18"/>
    <n v="0.86562499999999998"/>
    <n v="1.7789673729415301E+18"/>
    <n v="1.77896721733679E+18"/>
    <n v="149.990931377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UWaveGestureLibrary/ --model_id UWaveGestureLibrary --model TimesNet --data UEA --e_layers 3 --batch_size 32 --d_model 128 --d_ff 256 --top_k 3 --des Exp --itr 1 --learning_rate 0.001 --train_epochs 1000 --patience 10 --seed 7 --id 24fa042d3cdfefc988ec7ab2d867a0df3ab5a975852df9dff4a50e9c2dcfcd0a"/>
    <n v="1"/>
    <b v="0"/>
    <b v="0"/>
    <s v="M"/>
    <n v="3"/>
    <b v="0"/>
    <n v="8"/>
    <n v="0"/>
    <n v="0"/>
    <b v="0"/>
    <n v="1E-3"/>
    <n v="256"/>
    <b v="1"/>
    <n v="1"/>
    <n v="3"/>
    <n v="0.1"/>
    <n v="0.1"/>
    <b v="0"/>
    <n v="32"/>
    <n v="7"/>
    <n v="1"/>
    <n v="16"/>
    <s v="./dataset/UWaveGestureLibrary/"/>
    <s v="Monthly"/>
    <n v="10"/>
    <b v="0"/>
    <s v="classification"/>
    <s v="24fa042d3cdfefc988ec7ab2d867a0df3ab5a975852df9dff4a50e9c2dcfcd0a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UWaveGestureLibrary', model='TimesNet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24fa042d3cdfefc988ec7ab2d867a0df3ab5a975852df9dff4a50e9c2dcfcd0a', device=device(type='cuda', index=0), num_class=8)"/>
    <x v="1"/>
    <s v="classification_UWaveGestureLibrary_TimesNet_UEA_ftM_sl315_ll48_pl0_dm128_nh8_el3_dl1_df256_expand2_dc4_fc1_ebtimeF_dtTrue_Exp_024fa042d3cdfefc988ec7ab2d867a0df3ab5a975852df9dff4a50e9c2dcfcd0a"/>
    <s v="None"/>
    <n v="315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a16276fb1f9748cd84b27aba965f730f', 'MLFLOW_TRACKING_USERNAME': 'sunwu', 'MLFLOW_TRACKING_PASSWORD': 'sunwu520yxq.....', 'MLFLOW_TRACKING_URI': 'https://mlflow.gwusun.top', 'MLFLOW_EXPERIMENT_ID': '32', 'KMP_DUPLICATE_LIB_OK': 'True', 'KMP_INIT_AT_FORK': 'FALSE', 'TRAIN_START': '1778967217336798543', 'TORCHINDUCTOR_CACHE_DIR': '/tmp/torchinductor_root', 'TRAIN_END': '1778967369180337080', 'TEST_START': '1778967369180403724', 'TEST_END': '1778967372941536731'}"/>
    <n v="7"/>
    <s v="[128, 128]"/>
    <n v="0"/>
    <s v="UWaveGestureLibrary"/>
    <s v="moving_avg"/>
    <s v="24fa042d3cdfefc988ec7ab2d867a0df3ab5a975852df9dff4a50e9c2dcfcd0a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UWaveGestureLibrary_TimesNet_UEA_ftM_sl315_ll48_pl0_dm128_nh8_el3_dl1_df256_expand2_dc4_fc1_ebtimeF_dtTrue_Exp_024fa042d3cdfefc988ec7ab2d867a0df3ab5a975852df9dff4a50e9c2dcfcd0a"/>
    <s v="run.py"/>
    <s v="sunwu"/>
    <x v="9"/>
    <x v="99"/>
  </r>
  <r>
    <s v="05f279d9a2f44fe8b854c974ba2f979d"/>
    <n v="32"/>
    <s v="FINISHED"/>
    <s v="mlflow-artifacts:/32/05f279d9a2f44fe8b854c974ba2f979d/artifacts"/>
    <s v="2026-05-16 08:44:10.948000+00:00"/>
    <s v="2026-05-16 08:44:14.105000+00:00"/>
    <n v="1.77892102340879E+18"/>
    <n v="0.79056700322291995"/>
    <n v="0.76684898810202895"/>
    <n v="0.67493745599999999"/>
    <n v="0.79056700322291995"/>
    <n v="1.7789210234087301E+18"/>
    <n v="0.76300578034681998"/>
    <n v="1.77892105090238E+18"/>
    <n v="1.77892085048867E+18"/>
    <n v="56.6408456220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PEMS-SF/ --model_id PEMS-SF --model MambaSL --data UEA --e_layers 3 --batch_size 32 --d_model 128 --d_ff 256 --top_k 3 --des Exp --itr 1 --learning_rate 0.001 --train_epochs 1000 --patience 10 --seed 2026 --id fbad07e90f5a58df79f59d7838bff5168013e4c336e55485ddcfe310cd80ee57"/>
    <n v="1"/>
    <b v="0"/>
    <b v="0"/>
    <s v="M"/>
    <n v="3"/>
    <b v="0"/>
    <n v="7"/>
    <n v="0"/>
    <n v="0"/>
    <b v="0"/>
    <n v="1E-3"/>
    <n v="256"/>
    <b v="1"/>
    <n v="1"/>
    <n v="3"/>
    <n v="0.1"/>
    <n v="0.1"/>
    <b v="0"/>
    <n v="32"/>
    <n v="2026"/>
    <n v="1"/>
    <n v="16"/>
    <s v="./dataset/PEMS-SF/"/>
    <s v="Monthly"/>
    <n v="10"/>
    <b v="0"/>
    <s v="classification"/>
    <s v="fbad07e90f5a58df79f59d7838bff5168013e4c336e55485ddcfe310cd80ee57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PEMS-SF', model='MambaSL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fbad07e90f5a58df79f59d7838bff5168013e4c336e55485ddcfe310cd80ee57', device=device(type='cuda', index=0), num_class=7)"/>
    <x v="2"/>
    <s v="classification_PEMS-SF_MambaSL_UEA_ftM_sl144_ll48_pl0_dm128_nh8_el3_dl1_df256_expand2_dc4_fc1_ebtimeF_dtTrue_Exp_0fbad07e90f5a58df79f59d7838bff5168013e4c336e55485ddcfe310cd80ee57"/>
    <s v="None"/>
    <n v="144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47e2c9df15148ea9c2894c4a9a5711b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20850488673630', 'TRAIN_END': '1778921023408738065', 'TEST_START': '1778921023408793108', 'TEST_END': '1778921050902382594'}"/>
    <n v="7"/>
    <s v="[128, 128]"/>
    <n v="0"/>
    <s v="PEMS-SF"/>
    <s v="moving_avg"/>
    <s v="fbad07e90f5a58df79f59d7838bff5168013e4c336e55485ddcfe310cd80ee57"/>
    <n v="96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PEMS-SF_MambaSL_UEA_ftM_sl144_ll48_pl0_dm128_nh8_el3_dl1_df256_expand2_dc4_fc1_ebtimeF_dtTrue_Exp_0fbad07e90f5a58df79f59d7838bff5168013e4c336e55485ddcfe310cd80ee57"/>
    <s v="run.py"/>
    <s v="sunwu"/>
    <x v="0"/>
    <x v="100"/>
  </r>
  <r>
    <s v="5ca2ca3b08294dc789a52cb312d131cd"/>
    <n v="32"/>
    <s v="FINISHED"/>
    <s v="mlflow-artifacts:/32/5ca2ca3b08294dc789a52cb312d131cd/artifacts"/>
    <s v="2026-05-16 08:38:19.144000+00:00"/>
    <s v="2026-05-16 08:38:22.307000+00:00"/>
    <n v="1.77892069419954E+18"/>
    <n v="0.99096278922014902"/>
    <n v="0.99090962770808499"/>
    <n v="0.60977403399999996"/>
    <n v="0.99096278922014902"/>
    <n v="1.7789206941994701E+18"/>
    <n v="0.99090495679854396"/>
    <n v="1.77892069909695E+18"/>
    <n v="1.77892060903565E+18"/>
    <n v="63.680473351000003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pokenArabicDigits/ --model_id SpokenArabicDigits --model MambaSL --data UEA --e_layers 3 --batch_size 32 --d_model 128 --d_ff 256 --top_k 3 --des Exp --itr 1 --learning_rate 0.001 --train_epochs 1000 --patience 10 --seed 2026 --id 8a70fdcd9228f6eac0b5b496244a7a67e3ef4e78389ae1e2a0c2862b4bf9ef42"/>
    <n v="1"/>
    <b v="0"/>
    <b v="0"/>
    <s v="M"/>
    <n v="3"/>
    <b v="0"/>
    <n v="10"/>
    <n v="0"/>
    <n v="0"/>
    <b v="0"/>
    <n v="1E-3"/>
    <n v="256"/>
    <b v="1"/>
    <n v="1"/>
    <n v="3"/>
    <n v="0.1"/>
    <n v="0.1"/>
    <b v="0"/>
    <n v="32"/>
    <n v="2026"/>
    <n v="1"/>
    <n v="16"/>
    <s v="./dataset/SpokenArabicDigits/"/>
    <s v="Monthly"/>
    <n v="10"/>
    <b v="0"/>
    <s v="classification"/>
    <s v="8a70fdcd9228f6eac0b5b496244a7a67e3ef4e78389ae1e2a0c2862b4bf9ef42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pokenArabicDigits', model='MambaSL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8a70fdcd9228f6eac0b5b496244a7a67e3ef4e78389ae1e2a0c2862b4bf9ef42', device=device(type='cuda', index=0), num_class=10)"/>
    <x v="2"/>
    <s v="classification_SpokenArabicDigits_MambaSL_UEA_ftM_sl93_ll48_pl0_dm128_nh8_el3_dl1_df256_expand2_dc4_fc1_ebtimeF_dtTrue_Exp_08a70fdcd9228f6eac0b5b496244a7a67e3ef4e78389ae1e2a0c2862b4bf9ef42"/>
    <s v="None"/>
    <n v="93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edf4a0163aeb4d41869d4560466266a2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20609035659524', 'TRAIN_END': '1778920694199477974', 'TEST_START': '1778920694199545978', 'TEST_END': '1778920699096953815'}"/>
    <n v="7"/>
    <s v="[128, 128]"/>
    <n v="0"/>
    <s v="SpokenArabicDigits"/>
    <s v="moving_avg"/>
    <s v="8a70fdcd9228f6eac0b5b496244a7a67e3ef4e78389ae1e2a0c2862b4bf9ef42"/>
    <n v="1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pokenArabicDigits_MambaSL_UEA_ftM_sl93_ll48_pl0_dm128_nh8_el3_dl1_df256_expand2_dc4_fc1_ebtimeF_dtTrue_Exp_08a70fdcd9228f6eac0b5b496244a7a67e3ef4e78389ae1e2a0c2862b4bf9ef42"/>
    <s v="run.py"/>
    <s v="sunwu"/>
    <x v="1"/>
    <x v="101"/>
  </r>
  <r>
    <s v="37cedf3e4d414122bb5bcfe4432c0a56"/>
    <n v="32"/>
    <s v="FINISHED"/>
    <s v="mlflow-artifacts:/32/37cedf3e4d414122bb5bcfe4432c0a56/artifacts"/>
    <s v="2026-05-16 08:36:39.497000+00:00"/>
    <s v="2026-05-16 08:36:42.479000+00:00"/>
    <n v="1.7789205981502999E+18"/>
    <n v="0.566798614547253"/>
    <n v="0.56645256916996001"/>
    <n v="0.75676816000000002"/>
    <n v="0.566798614547253"/>
    <n v="1.77892059815022E+18"/>
    <n v="0.56666666666666599"/>
    <n v="1.7789205994510001E+18"/>
    <n v="1.77892055567406E+18"/>
    <n v="40.7656205950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2/ --model_id SelfRegulationSCP2 --model MambaSL --data UEA --e_layers 3 --batch_size 32 --d_model 128 --d_ff 256 --top_k 3 --des Exp --itr 1 --learning_rate 0.001 --train_epochs 1000 --patience 10 --seed 2026 --id fd8a3424ca8dfa3fb7483e92ba47627c8470d33a0118a7381d9b2076f825c7bd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2026"/>
    <n v="1"/>
    <n v="16"/>
    <s v="./dataset/SelfRegulationSCP2/"/>
    <s v="Monthly"/>
    <n v="10"/>
    <b v="0"/>
    <s v="classification"/>
    <s v="fd8a3424ca8dfa3fb7483e92ba47627c8470d33a0118a7381d9b2076f825c7bd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2', model='MambaSL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fd8a3424ca8dfa3fb7483e92ba47627c8470d33a0118a7381d9b2076f825c7bd', device=device(type='cuda', index=0), num_class=2)"/>
    <x v="2"/>
    <s v="classification_SelfRegulationSCP2_MambaSL_UEA_ftM_sl1152_ll48_pl0_dm128_nh8_el3_dl1_df256_expand2_dc4_fc1_ebtimeF_dtTrue_Exp_0fd8a3424ca8dfa3fb7483e92ba47627c8470d33a0118a7381d9b2076f825c7bd"/>
    <s v="None"/>
    <n v="115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a3123c116e4d4db4bfb3737bc9831938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20555674062013', 'TRAIN_END': '1778920598150228553', 'TEST_START': '1778920598150302908', 'TEST_END': '1778920599451004005'}"/>
    <n v="7"/>
    <s v="[128, 128]"/>
    <n v="0"/>
    <s v="SelfRegulationSCP2"/>
    <s v="moving_avg"/>
    <s v="fd8a3424ca8dfa3fb7483e92ba47627c8470d33a0118a7381d9b2076f825c7bd"/>
    <n v="7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2_MambaSL_UEA_ftM_sl1152_ll48_pl0_dm128_nh8_el3_dl1_df256_expand2_dc4_fc1_ebtimeF_dtTrue_Exp_0fd8a3424ca8dfa3fb7483e92ba47627c8470d33a0118a7381d9b2076f825c7bd"/>
    <s v="run.py"/>
    <s v="sunwu"/>
    <x v="3"/>
    <x v="102"/>
  </r>
  <r>
    <s v="0df8255c3e0c4d7186c4687e92d05401"/>
    <n v="32"/>
    <s v="FINISHED"/>
    <s v="mlflow-artifacts:/32/0df8255c3e0c4d7186c4687e92d05401/artifacts"/>
    <s v="2026-05-16 08:35:46.513000+00:00"/>
    <s v="2026-05-16 08:35:50.732000+00:00"/>
    <n v="1.7789204776418099E+18"/>
    <n v="0.65670078781071695"/>
    <n v="0.64863509582844503"/>
    <n v="0.83538817600000004"/>
    <n v="0.65670078781071695"/>
    <n v="1.77892047764175E+18"/>
    <n v="0.65153234960272399"/>
    <n v="1.77892054646816E+18"/>
    <n v="1.7789201769685199E+18"/>
    <n v="63.72428551800000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FaceDetection/ --model_id FaceDetection --model MambaSL --data UEA --e_layers 3 --batch_size 32 --d_model 128 --d_ff 256 --top_k 3 --des Exp --itr 1 --learning_rate 0.001 --train_epochs 1000 --patience 10 --seed 2026 --id 76ccaaa1992dd0d59742733c3938dab2c79d90c81634669280b73f449a72a0e2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2026"/>
    <n v="1"/>
    <n v="16"/>
    <s v="./dataset/FaceDetection/"/>
    <s v="Monthly"/>
    <n v="10"/>
    <b v="0"/>
    <s v="classification"/>
    <s v="76ccaaa1992dd0d59742733c3938dab2c79d90c81634669280b73f449a72a0e2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FaceDetection', model='MambaSL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76ccaaa1992dd0d59742733c3938dab2c79d90c81634669280b73f449a72a0e2', device=device(type='cuda', index=0), num_class=2)"/>
    <x v="2"/>
    <s v="classification_FaceDetection_MambaSL_UEA_ftM_sl62_ll48_pl0_dm128_nh8_el3_dl1_df256_expand2_dc4_fc1_ebtimeF_dtTrue_Exp_076ccaaa1992dd0d59742733c3938dab2c79d90c81634669280b73f449a72a0e2"/>
    <s v="None"/>
    <n v="6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88ba359784d9404bab3f673b80480d9d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20176968527881', 'TRAIN_END': '1778920477641754236', 'TEST_START': '1778920477641814199', 'TEST_END': '1778920546468165451'}"/>
    <n v="7"/>
    <s v="[128, 128]"/>
    <n v="0"/>
    <s v="FaceDetection"/>
    <s v="moving_avg"/>
    <s v="76ccaaa1992dd0d59742733c3938dab2c79d90c81634669280b73f449a72a0e2"/>
    <n v="144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FaceDetection_MambaSL_UEA_ftM_sl62_ll48_pl0_dm128_nh8_el3_dl1_df256_expand2_dc4_fc1_ebtimeF_dtTrue_Exp_076ccaaa1992dd0d59742733c3938dab2c79d90c81634669280b73f449a72a0e2"/>
    <s v="run.py"/>
    <s v="sunwu"/>
    <x v="2"/>
    <x v="103"/>
  </r>
  <r>
    <s v="af8292e373e94215b3cd1b0721195607"/>
    <n v="32"/>
    <s v="FINISHED"/>
    <s v="mlflow-artifacts:/32/af8292e373e94215b3cd1b0721195607/artifacts"/>
    <s v="2026-05-16 08:35:37.244000+00:00"/>
    <s v="2026-05-16 08:35:40.256000+00:00"/>
    <n v="1.7789205360458199E+18"/>
    <n v="0.895464890226087"/>
    <n v="0.89043778231989301"/>
    <n v="0.46133546800000003"/>
    <n v="0.895464890226087"/>
    <n v="1.77892053604574E+18"/>
    <n v="0.89078498293515296"/>
    <n v="1.7789205371963599E+18"/>
    <n v="1.7789205150546299E+18"/>
    <n v="18.7957267600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1/ --model_id SelfRegulationSCP1 --model MambaSL --data UEA --e_layers 3 --batch_size 32 --d_model 128 --d_ff 256 --top_k 3 --des Exp --itr 1 --learning_rate 0.001 --train_epochs 1000 --patience 10 --seed 2026 --id 3aa470c410f9f5712e802807d873523a1d8f92fe29f846764ed3faad120c7da4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2026"/>
    <n v="1"/>
    <n v="16"/>
    <s v="./dataset/SelfRegulationSCP1/"/>
    <s v="Monthly"/>
    <n v="10"/>
    <b v="0"/>
    <s v="classification"/>
    <s v="3aa470c410f9f5712e802807d873523a1d8f92fe29f846764ed3faad120c7da4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1', model='MambaSL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3aa470c410f9f5712e802807d873523a1d8f92fe29f846764ed3faad120c7da4', device=device(type='cuda', index=0), num_class=2)"/>
    <x v="2"/>
    <s v="classification_SelfRegulationSCP1_MambaSL_UEA_ftM_sl896_ll48_pl0_dm128_nh8_el3_dl1_df256_expand2_dc4_fc1_ebtimeF_dtTrue_Exp_03aa470c410f9f5712e802807d873523a1d8f92fe29f846764ed3faad120c7da4"/>
    <s v="None"/>
    <n v="896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c1fda968d7764a2295b807e0f14138c4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20515054636891', 'TRAIN_END': '1778920536045743399', 'TEST_START': '1778920536045820573', 'TEST_END': '1778920537196361828'}"/>
    <n v="7"/>
    <s v="[128, 128]"/>
    <n v="0"/>
    <s v="SelfRegulationSCP1"/>
    <s v="moving_avg"/>
    <s v="3aa470c410f9f5712e802807d873523a1d8f92fe29f846764ed3faad120c7da4"/>
    <n v="6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1_MambaSL_UEA_ftM_sl896_ll48_pl0_dm128_nh8_el3_dl1_df256_expand2_dc4_fc1_ebtimeF_dtTrue_Exp_03aa470c410f9f5712e802807d873523a1d8f92fe29f846764ed3faad120c7da4"/>
    <s v="run.py"/>
    <s v="sunwu"/>
    <x v="4"/>
    <x v="104"/>
  </r>
  <r>
    <s v="0afb1c2dfb4544179a0323260ba9cf18"/>
    <n v="32"/>
    <s v="FINISHED"/>
    <s v="mlflow-artifacts:/32/0afb1c2dfb4544179a0323260ba9cf18/artifacts"/>
    <s v="2026-05-16 08:34:56.505000+00:00"/>
    <s v="2026-05-16 08:34:59.498000+00:00"/>
    <n v="1.7789204951818199E+18"/>
    <n v="0.97420306770287501"/>
    <n v="0.97317720617879"/>
    <n v="0.47177216100000002"/>
    <n v="0.97420306770287501"/>
    <n v="1.77892049518174E+18"/>
    <n v="0.97297297297297303"/>
    <n v="1.7789204964365299E+18"/>
    <n v="1.7789204523903401E+18"/>
    <n v="40.9423319610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JapaneseVowels/ --model_id JapaneseVowels --model MambaSL --data UEA --e_layers 3 --batch_size 32 --d_model 128 --d_ff 256 --top_k 3 --des Exp --itr 1 --learning_rate 0.001 --train_epochs 1000 --patience 10 --seed 2026 --id e51d01212c86d4f234239bf110e2309299147f565a3bce14515f3c3aa90ad686"/>
    <n v="1"/>
    <b v="0"/>
    <b v="0"/>
    <s v="M"/>
    <n v="3"/>
    <b v="0"/>
    <n v="9"/>
    <n v="0"/>
    <n v="0"/>
    <b v="0"/>
    <n v="1E-3"/>
    <n v="256"/>
    <b v="1"/>
    <n v="1"/>
    <n v="3"/>
    <n v="0.1"/>
    <n v="0.1"/>
    <b v="0"/>
    <n v="32"/>
    <n v="2026"/>
    <n v="1"/>
    <n v="16"/>
    <s v="./dataset/JapaneseVowels/"/>
    <s v="Monthly"/>
    <n v="10"/>
    <b v="0"/>
    <s v="classification"/>
    <s v="e51d01212c86d4f234239bf110e2309299147f565a3bce14515f3c3aa90ad686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JapaneseVowels', model='MambaSL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e51d01212c86d4f234239bf110e2309299147f565a3bce14515f3c3aa90ad686', device=device(type='cuda', index=0), num_class=9)"/>
    <x v="2"/>
    <s v="classification_JapaneseVowels_MambaSL_UEA_ftM_sl29_ll48_pl0_dm128_nh8_el3_dl1_df256_expand2_dc4_fc1_ebtimeF_dtTrue_Exp_0e51d01212c86d4f234239bf110e2309299147f565a3bce14515f3c3aa90ad686"/>
    <s v="None"/>
    <n v="29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3b75e7db9c0d487983bcff907a060ff3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20452390345414', 'TRAIN_END': '1778920495181749109', 'TEST_START': '1778920495181826381', 'TEST_END': '1778920496436530701'}"/>
    <n v="7"/>
    <s v="[128, 128]"/>
    <n v="0"/>
    <s v="JapaneseVowels"/>
    <s v="moving_avg"/>
    <s v="e51d01212c86d4f234239bf110e2309299147f565a3bce14515f3c3aa90ad686"/>
    <n v="12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JapaneseVowels_MambaSL_UEA_ftM_sl29_ll48_pl0_dm128_nh8_el3_dl1_df256_expand2_dc4_fc1_ebtimeF_dtTrue_Exp_0e51d01212c86d4f234239bf110e2309299147f565a3bce14515f3c3aa90ad686"/>
    <s v="run.py"/>
    <s v="sunwu"/>
    <x v="5"/>
    <x v="105"/>
  </r>
  <r>
    <s v="8e6abcc536e641aeabde3029f3f7dda1"/>
    <n v="32"/>
    <s v="FINISHED"/>
    <s v="mlflow-artifacts:/32/8e6abcc536e641aeabde3029f3f7dda1/artifacts"/>
    <s v="2026-05-16 08:30:22.440000+00:00"/>
    <s v="2026-05-16 08:30:25.426000+00:00"/>
    <n v="1.7789202191398001E+18"/>
    <n v="0.76410569105690995"/>
    <n v="0.76678156850323198"/>
    <n v="0.47510633600000002"/>
    <n v="0.76410569105690995"/>
    <n v="1.7789202191397399E+18"/>
    <n v="0.775609756097561"/>
    <n v="1.77892022239408E+18"/>
    <n v="1.7789201761664E+18"/>
    <n v="34.395590353000003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eartbeat/ --model_id Heartbeat --model MambaSL --data UEA --e_layers 3 --batch_size 32 --d_model 128 --d_ff 256 --top_k 3 --des Exp --itr 1 --learning_rate 0.001 --train_epochs 1000 --patience 10 --seed 2026 --id 0d96dcf714548c7d5bd464cb37778bf8c3722194658a56f828781b03988e46b6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2026"/>
    <n v="1"/>
    <n v="16"/>
    <s v="./dataset/Heartbeat/"/>
    <s v="Monthly"/>
    <n v="10"/>
    <b v="0"/>
    <s v="classification"/>
    <s v="0d96dcf714548c7d5bd464cb37778bf8c3722194658a56f828781b03988e46b6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eartbeat', model='MambaSL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0d96dcf714548c7d5bd464cb37778bf8c3722194658a56f828781b03988e46b6', device=device(type='cuda', index=0), num_class=2)"/>
    <x v="2"/>
    <s v="classification_Heartbeat_MambaSL_UEA_ftM_sl405_ll48_pl0_dm128_nh8_el3_dl1_df256_expand2_dc4_fc1_ebtimeF_dtTrue_Exp_00d96dcf714548c7d5bd464cb37778bf8c3722194658a56f828781b03988e46b6"/>
    <s v="None"/>
    <n v="405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280e1ee8ce5d4fa795b531ff1c70524e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20176166400866', 'TRAIN_END': '1778920219139743520', 'TEST_START': '1778920219139806939', 'TEST_END': '1778920222394087331'}"/>
    <n v="7"/>
    <s v="[128, 128]"/>
    <n v="0"/>
    <s v="Heartbeat"/>
    <s v="moving_avg"/>
    <s v="0d96dcf714548c7d5bd464cb37778bf8c3722194658a56f828781b03988e46b6"/>
    <n v="61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eartbeat_MambaSL_UEA_ftM_sl405_ll48_pl0_dm128_nh8_el3_dl1_df256_expand2_dc4_fc1_ebtimeF_dtTrue_Exp_00d96dcf714548c7d5bd464cb37778bf8c3722194658a56f828781b03988e46b6"/>
    <s v="run.py"/>
    <s v="sunwu"/>
    <x v="6"/>
    <x v="106"/>
  </r>
  <r>
    <s v="8ae30f8b722f4efc827d5d6ab7447437"/>
    <n v="32"/>
    <s v="FINISHED"/>
    <s v="mlflow-artifacts:/32/8ae30f8b722f4efc827d5d6ab7447437/artifacts"/>
    <s v="2026-05-16 08:29:06.403000+00:00"/>
    <s v="2026-05-16 08:29:09.543000+00:00"/>
    <n v="1.77892014499918E+18"/>
    <n v="0.48120689534293898"/>
    <n v="0.43757816362643298"/>
    <n v="0.466566908"/>
    <n v="0.48120689534293898"/>
    <n v="1.7789201449991099E+18"/>
    <n v="0.46470588235294102"/>
    <n v="1.7789201463596101E+18"/>
    <n v="1.77892004520258E+18"/>
    <n v="98.17091595600000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andwriting/ --model_id Handwriting --model MambaSL --data UEA --e_layers 3 --batch_size 32 --d_model 128 --d_ff 256 --top_k 3 --des Exp --itr 1 --learning_rate 0.001 --train_epochs 1000 --patience 10 --seed 2026 --id 7d88924f402dbffc0eaa88ab7e3e2b2f847e64cc405ad8846b0385d7719500af"/>
    <n v="1"/>
    <b v="0"/>
    <b v="0"/>
    <s v="M"/>
    <n v="3"/>
    <b v="0"/>
    <n v="26"/>
    <n v="0"/>
    <n v="0"/>
    <b v="0"/>
    <n v="1E-3"/>
    <n v="256"/>
    <b v="1"/>
    <n v="1"/>
    <n v="3"/>
    <n v="0.1"/>
    <n v="0.1"/>
    <b v="0"/>
    <n v="32"/>
    <n v="2026"/>
    <n v="1"/>
    <n v="16"/>
    <s v="./dataset/Handwriting/"/>
    <s v="Monthly"/>
    <n v="10"/>
    <b v="0"/>
    <s v="classification"/>
    <s v="7d88924f402dbffc0eaa88ab7e3e2b2f847e64cc405ad8846b0385d7719500af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andwriting', model='MambaSL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7d88924f402dbffc0eaa88ab7e3e2b2f847e64cc405ad8846b0385d7719500af', device=device(type='cuda', index=0), num_class=26)"/>
    <x v="2"/>
    <s v="classification_Handwriting_MambaSL_UEA_ftM_sl152_ll48_pl0_dm128_nh8_el3_dl1_df256_expand2_dc4_fc1_ebtimeF_dtTrue_Exp_07d88924f402dbffc0eaa88ab7e3e2b2f847e64cc405ad8846b0385d7719500af"/>
    <s v="None"/>
    <n v="15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aec85d0152f24f56bf3663774d93c902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20045202582389', 'TRAIN_END': '1778920144999111327', 'TEST_START': '1778920144999183238', 'TEST_END': '1778920146359610480'}"/>
    <n v="7"/>
    <s v="[128, 128]"/>
    <n v="0"/>
    <s v="Handwriting"/>
    <s v="moving_avg"/>
    <s v="7d88924f402dbffc0eaa88ab7e3e2b2f847e64cc405ad8846b0385d7719500af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andwriting_MambaSL_UEA_ftM_sl152_ll48_pl0_dm128_nh8_el3_dl1_df256_expand2_dc4_fc1_ebtimeF_dtTrue_Exp_07d88924f402dbffc0eaa88ab7e3e2b2f847e64cc405ad8846b0385d7719500af"/>
    <s v="run.py"/>
    <s v="sunwu"/>
    <x v="7"/>
    <x v="107"/>
  </r>
  <r>
    <s v="db8dd02fc37a470eaf2c0a1fd48e96fb"/>
    <n v="32"/>
    <s v="FINISHED"/>
    <s v="mlflow-artifacts:/32/db8dd02fc37a470eaf2c0a1fd48e96fb/artifacts"/>
    <s v="2026-05-16 08:27:09.137000+00:00"/>
    <s v="2026-05-16 08:27:13.403000+00:00"/>
    <n v="1.7789200014502899E+18"/>
    <n v="0.81555992318746795"/>
    <n v="0.76494347183425304"/>
    <n v="0.49726305999999998"/>
    <n v="0.81555992318746795"/>
    <n v="1.77892000145021E+18"/>
    <n v="0.76878612716762995"/>
    <n v="1.7789200290922399E+18"/>
    <n v="1.7789198296904E+18"/>
    <n v="43.05104134900000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PEMS-SF/ --model_id PEMS-SF --model MambaSL --data UEA --e_layers 3 --batch_size 32 --d_model 128 --d_ff 256 --top_k 3 --des Exp --itr 1 --learning_rate 0.001 --train_epochs 1000 --patience 10 --seed 1234 --id 8737fba50703affe2156377abb35b5b392690173174ed72d4faeb75a16461f69"/>
    <n v="1"/>
    <b v="0"/>
    <b v="0"/>
    <s v="M"/>
    <n v="3"/>
    <b v="0"/>
    <n v="7"/>
    <n v="0"/>
    <n v="0"/>
    <b v="0"/>
    <n v="1E-3"/>
    <n v="256"/>
    <b v="1"/>
    <n v="1"/>
    <n v="3"/>
    <n v="0.1"/>
    <n v="0.1"/>
    <b v="0"/>
    <n v="32"/>
    <n v="1234"/>
    <n v="1"/>
    <n v="16"/>
    <s v="./dataset/PEMS-SF/"/>
    <s v="Monthly"/>
    <n v="10"/>
    <b v="0"/>
    <s v="classification"/>
    <s v="8737fba50703affe2156377abb35b5b392690173174ed72d4faeb75a16461f69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PEMS-SF', model='MambaSL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8737fba50703affe2156377abb35b5b392690173174ed72d4faeb75a16461f69', device=device(type='cuda', index=0), num_class=7)"/>
    <x v="2"/>
    <s v="classification_PEMS-SF_MambaSL_UEA_ftM_sl144_ll48_pl0_dm128_nh8_el3_dl1_df256_expand2_dc4_fc1_ebtimeF_dtTrue_Exp_08737fba50703affe2156377abb35b5b392690173174ed72d4faeb75a16461f69"/>
    <s v="None"/>
    <n v="144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848df2f5efcc4fe19ca41c033de329d2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9829690400286', 'TRAIN_END': '1778920001450211120', 'TEST_START': '1778920001450295143', 'TEST_END': '1778920029092248450'}"/>
    <n v="7"/>
    <s v="[128, 128]"/>
    <n v="0"/>
    <s v="PEMS-SF"/>
    <s v="moving_avg"/>
    <s v="8737fba50703affe2156377abb35b5b392690173174ed72d4faeb75a16461f69"/>
    <n v="96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PEMS-SF_MambaSL_UEA_ftM_sl144_ll48_pl0_dm128_nh8_el3_dl1_df256_expand2_dc4_fc1_ebtimeF_dtTrue_Exp_08737fba50703affe2156377abb35b5b392690173174ed72d4faeb75a16461f69"/>
    <s v="run.py"/>
    <s v="sunwu"/>
    <x v="0"/>
    <x v="108"/>
  </r>
  <r>
    <s v="22d6bfe9079e4a2cbc32d96fe4d3f7f9"/>
    <n v="32"/>
    <s v="FINISHED"/>
    <s v="mlflow-artifacts:/32/22d6bfe9079e4a2cbc32d96fe4d3f7f9/artifacts"/>
    <s v="2026-05-16 08:24:45.778000+00:00"/>
    <s v="2026-05-16 08:24:48.772000+00:00"/>
    <n v="1.77891988436114E+18"/>
    <n v="0.33740290140405799"/>
    <n v="0.259159653925431"/>
    <n v="0.80509856199999996"/>
    <n v="0.33740290140405799"/>
    <n v="1.7789198843610801E+18"/>
    <n v="0.30038022813688198"/>
    <n v="1.77891988572895E+18"/>
    <n v="1.77891982322162E+18"/>
    <n v="59.42380066500000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EthanolConcentration/ --model_id EthanolConcentration --model MambaSL --data UEA --e_layers 3 --batch_size 32 --d_model 128 --d_ff 256 --top_k 3 --des Exp --itr 1 --learning_rate 0.001 --train_epochs 1000 --patience 10 --seed 2026 --id b6d1de180f185b1f1ff9be77e6b1c6feee60a03ca5036d75e1257eec531560e9"/>
    <n v="1"/>
    <b v="0"/>
    <b v="0"/>
    <s v="M"/>
    <n v="3"/>
    <b v="0"/>
    <n v="4"/>
    <n v="0"/>
    <n v="0"/>
    <b v="0"/>
    <n v="1E-3"/>
    <n v="256"/>
    <b v="1"/>
    <n v="1"/>
    <n v="3"/>
    <n v="0.1"/>
    <n v="0.1"/>
    <b v="0"/>
    <n v="32"/>
    <n v="2026"/>
    <n v="1"/>
    <n v="16"/>
    <s v="./dataset/EthanolConcentration/"/>
    <s v="Monthly"/>
    <n v="10"/>
    <b v="0"/>
    <s v="classification"/>
    <s v="b6d1de180f185b1f1ff9be77e6b1c6feee60a03ca5036d75e1257eec531560e9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EthanolConcentration', model='MambaSL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b6d1de180f185b1f1ff9be77e6b1c6feee60a03ca5036d75e1257eec531560e9', device=device(type='cuda', index=0), num_class=4)"/>
    <x v="2"/>
    <s v="classification_EthanolConcentration_MambaSL_UEA_ftM_sl1751_ll48_pl0_dm128_nh8_el3_dl1_df256_expand2_dc4_fc1_ebtimeF_dtTrue_Exp_0b6d1de180f185b1f1ff9be77e6b1c6feee60a03ca5036d75e1257eec531560e9"/>
    <s v="None"/>
    <n v="1751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364a74ec4444df08ac9b090a9fa0a82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9823221627352', 'TRAIN_END': '1778919884361083155', 'TEST_START': '1778919884361142664', 'TEST_END': '1778919885728955570'}"/>
    <n v="7"/>
    <s v="[128, 128]"/>
    <n v="0"/>
    <s v="EthanolConcentration"/>
    <s v="moving_avg"/>
    <s v="b6d1de180f185b1f1ff9be77e6b1c6feee60a03ca5036d75e1257eec531560e9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EthanolConcentration_MambaSL_UEA_ftM_sl1751_ll48_pl0_dm128_nh8_el3_dl1_df256_expand2_dc4_fc1_ebtimeF_dtTrue_Exp_0b6d1de180f185b1f1ff9be77e6b1c6feee60a03ca5036d75e1257eec531560e9"/>
    <s v="run.py"/>
    <s v="sunwu"/>
    <x v="8"/>
    <x v="109"/>
  </r>
  <r>
    <s v="6491a9c34e25483990711b370b49f64b"/>
    <n v="32"/>
    <s v="FINISHED"/>
    <s v="mlflow-artifacts:/32/6491a9c34e25483990711b370b49f64b/artifacts"/>
    <s v="2026-05-16 08:23:25.507000+00:00"/>
    <s v="2026-05-16 08:23:28.499000+00:00"/>
    <n v="1.77891980478945E+18"/>
    <n v="0.91844664091949002"/>
    <n v="0.91494731117957295"/>
    <n v="0.376118493"/>
    <n v="0.91844664091949002"/>
    <n v="1.7789198047893901E+18"/>
    <n v="0.91562500000000002"/>
    <n v="1.77891980545869E+18"/>
    <n v="1.77891972998862E+18"/>
    <n v="73.92182611900000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UWaveGestureLibrary/ --model_id UWaveGestureLibrary --model MambaSL --data UEA --e_layers 3 --batch_size 32 --d_model 128 --d_ff 256 --top_k 3 --des Exp --itr 1 --learning_rate 0.001 --train_epochs 1000 --patience 10 --seed 2026 --id 140660fc2b983ffe45a8910121c9b6636ddc043c418cd6e878384065037ec206"/>
    <n v="1"/>
    <b v="0"/>
    <b v="0"/>
    <s v="M"/>
    <n v="3"/>
    <b v="0"/>
    <n v="8"/>
    <n v="0"/>
    <n v="0"/>
    <b v="0"/>
    <n v="1E-3"/>
    <n v="256"/>
    <b v="1"/>
    <n v="1"/>
    <n v="3"/>
    <n v="0.1"/>
    <n v="0.1"/>
    <b v="0"/>
    <n v="32"/>
    <n v="2026"/>
    <n v="1"/>
    <n v="16"/>
    <s v="./dataset/UWaveGestureLibrary/"/>
    <s v="Monthly"/>
    <n v="10"/>
    <b v="0"/>
    <s v="classification"/>
    <s v="140660fc2b983ffe45a8910121c9b6636ddc043c418cd6e878384065037ec206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UWaveGestureLibrary', model='MambaSL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140660fc2b983ffe45a8910121c9b6636ddc043c418cd6e878384065037ec206', device=device(type='cuda', index=0), num_class=8)"/>
    <x v="2"/>
    <s v="classification_UWaveGestureLibrary_MambaSL_UEA_ftM_sl315_ll48_pl0_dm128_nh8_el3_dl1_df256_expand2_dc4_fc1_ebtimeF_dtTrue_Exp_0140660fc2b983ffe45a8910121c9b6636ddc043c418cd6e878384065037ec206"/>
    <s v="None"/>
    <n v="315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5ec25f027af84a318c2c7bd0ef07cabb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9729988624427', 'TRAIN_END': '1778919804789390786', 'TEST_START': '1778919804789458811', 'TEST_END': '1778919805458694684'}"/>
    <n v="7"/>
    <s v="[128, 128]"/>
    <n v="0"/>
    <s v="UWaveGestureLibrary"/>
    <s v="moving_avg"/>
    <s v="140660fc2b983ffe45a8910121c9b6636ddc043c418cd6e878384065037ec206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UWaveGestureLibrary_MambaSL_UEA_ftM_sl315_ll48_pl0_dm128_nh8_el3_dl1_df256_expand2_dc4_fc1_ebtimeF_dtTrue_Exp_0140660fc2b983ffe45a8910121c9b6636ddc043c418cd6e878384065037ec206"/>
    <s v="run.py"/>
    <s v="sunwu"/>
    <x v="9"/>
    <x v="110"/>
  </r>
  <r>
    <s v="c678e67f5f7b4e4ebc4b8596de727c8d"/>
    <n v="32"/>
    <s v="FINISHED"/>
    <s v="mlflow-artifacts:/32/c678e67f5f7b4e4ebc4b8596de727c8d/artifacts"/>
    <s v="2026-05-16 08:21:38.616000+00:00"/>
    <s v="2026-05-16 08:21:41.786000+00:00"/>
    <n v="1.7789196304669801E+18"/>
    <n v="0.64162341183761995"/>
    <n v="0.64112237239051795"/>
    <n v="0.88099013800000003"/>
    <n v="0.64162341183761995"/>
    <n v="1.77891963046691E+18"/>
    <n v="0.64131668558456301"/>
    <n v="1.77891969856574E+18"/>
    <n v="1.77891930808163E+18"/>
    <n v="59.399860850000003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FaceDetection/ --model_id FaceDetection --model MambaSL --data UEA --e_layers 3 --batch_size 32 --d_model 128 --d_ff 256 --top_k 3 --des Exp --itr 1 --learning_rate 0.001 --train_epochs 1000 --patience 10 --seed 1234 --id 205b002df6974b73d77a7ed2fb3325f4a985d8b4e5b8f03f76b99f4a511da16f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4"/>
    <n v="1"/>
    <n v="16"/>
    <s v="./dataset/FaceDetection/"/>
    <s v="Monthly"/>
    <n v="10"/>
    <b v="0"/>
    <s v="classification"/>
    <s v="205b002df6974b73d77a7ed2fb3325f4a985d8b4e5b8f03f76b99f4a511da16f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FaceDetection', model='MambaSL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205b002df6974b73d77a7ed2fb3325f4a985d8b4e5b8f03f76b99f4a511da16f', device=device(type='cuda', index=0), num_class=2)"/>
    <x v="2"/>
    <s v="classification_FaceDetection_MambaSL_UEA_ftM_sl62_ll48_pl0_dm128_nh8_el3_dl1_df256_expand2_dc4_fc1_ebtimeF_dtTrue_Exp_0205b002df6974b73d77a7ed2fb3325f4a985d8b4e5b8f03f76b99f4a511da16f"/>
    <s v="None"/>
    <n v="6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9ea3fc6ac9584cfeb49e91e6662e86ff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9308081631035', 'TRAIN_END': '1778919630466917134', 'TEST_START': '1778919630466986906', 'TEST_END': '1778919698565744247'}"/>
    <n v="7"/>
    <s v="[128, 128]"/>
    <n v="0"/>
    <s v="FaceDetection"/>
    <s v="moving_avg"/>
    <s v="205b002df6974b73d77a7ed2fb3325f4a985d8b4e5b8f03f76b99f4a511da16f"/>
    <n v="144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FaceDetection_MambaSL_UEA_ftM_sl62_ll48_pl0_dm128_nh8_el3_dl1_df256_expand2_dc4_fc1_ebtimeF_dtTrue_Exp_0205b002df6974b73d77a7ed2fb3325f4a985d8b4e5b8f03f76b99f4a511da16f"/>
    <s v="run.py"/>
    <s v="sunwu"/>
    <x v="2"/>
    <x v="111"/>
  </r>
  <r>
    <s v="5813eb44841045c993e96551f00b31a6"/>
    <n v="32"/>
    <s v="FINISHED"/>
    <s v="mlflow-artifacts:/32/5813eb44841045c993e96551f00b31a6/artifacts"/>
    <s v="2026-05-16 08:19:02.911000+00:00"/>
    <s v="2026-05-16 08:19:06.920000+00:00"/>
    <n v="1.7789195380745001E+18"/>
    <n v="0.99103099640048198"/>
    <n v="0.99089461311246096"/>
    <n v="0.55675264999999996"/>
    <n v="0.99103099640048198"/>
    <n v="1.77891953807443E+18"/>
    <n v="0.99090495679854396"/>
    <n v="1.7789195428643699E+18"/>
    <n v="1.7789194711695099E+18"/>
    <n v="45.56277544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pokenArabicDigits/ --model_id SpokenArabicDigits --model MambaSL --data UEA --e_layers 3 --batch_size 32 --d_model 128 --d_ff 256 --top_k 3 --des Exp --itr 1 --learning_rate 0.001 --train_epochs 1000 --patience 10 --seed 1234 --id 5e026d7f796fe4a1a79839a36af197e6bc3015ce194af7b891376078da588caf"/>
    <n v="1"/>
    <b v="0"/>
    <b v="0"/>
    <s v="M"/>
    <n v="3"/>
    <b v="0"/>
    <n v="10"/>
    <n v="0"/>
    <n v="0"/>
    <b v="0"/>
    <n v="1E-3"/>
    <n v="256"/>
    <b v="1"/>
    <n v="1"/>
    <n v="3"/>
    <n v="0.1"/>
    <n v="0.1"/>
    <b v="0"/>
    <n v="32"/>
    <n v="1234"/>
    <n v="1"/>
    <n v="16"/>
    <s v="./dataset/SpokenArabicDigits/"/>
    <s v="Monthly"/>
    <n v="10"/>
    <b v="0"/>
    <s v="classification"/>
    <s v="5e026d7f796fe4a1a79839a36af197e6bc3015ce194af7b891376078da588caf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pokenArabicDigits', model='MambaSL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5e026d7f796fe4a1a79839a36af197e6bc3015ce194af7b891376078da588caf', device=device(type='cuda', index=0), num_class=10)"/>
    <x v="2"/>
    <s v="classification_SpokenArabicDigits_MambaSL_UEA_ftM_sl93_ll48_pl0_dm128_nh8_el3_dl1_df256_expand2_dc4_fc1_ebtimeF_dtTrue_Exp_05e026d7f796fe4a1a79839a36af197e6bc3015ce194af7b891376078da588caf"/>
    <s v="None"/>
    <n v="93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323994d88484ad781a49d083cc5af84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9471169509787', 'TRAIN_END': '1778919538074435272', 'TEST_START': '1778919538074501700', 'TEST_END': '1778919542864374971'}"/>
    <n v="7"/>
    <s v="[128, 128]"/>
    <n v="0"/>
    <s v="SpokenArabicDigits"/>
    <s v="moving_avg"/>
    <s v="5e026d7f796fe4a1a79839a36af197e6bc3015ce194af7b891376078da588caf"/>
    <n v="1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pokenArabicDigits_MambaSL_UEA_ftM_sl93_ll48_pl0_dm128_nh8_el3_dl1_df256_expand2_dc4_fc1_ebtimeF_dtTrue_Exp_05e026d7f796fe4a1a79839a36af197e6bc3015ce194af7b891376078da588caf"/>
    <s v="run.py"/>
    <s v="sunwu"/>
    <x v="1"/>
    <x v="112"/>
  </r>
  <r>
    <s v="e3f257ca0a0947babb1a05e81fac64b1"/>
    <n v="32"/>
    <s v="FINISHED"/>
    <s v="mlflow-artifacts:/32/e3f257ca0a0947babb1a05e81fac64b1/artifacts"/>
    <s v="2026-05-16 08:17:12.579000+00:00"/>
    <s v="2026-05-16 08:17:16.551000+00:00"/>
    <n v="1.77891943134813E+18"/>
    <n v="0.57970647773279305"/>
    <n v="0.57520804868960296"/>
    <n v="0.62433460299999999"/>
    <n v="0.57970647773279305"/>
    <n v="1.7789194313480901E+18"/>
    <n v="0.57777777777777695"/>
    <n v="1.77891943253377E+18"/>
    <n v="1.77891939153571E+18"/>
    <n v="38.105427573999997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2/ --model_id SelfRegulationSCP2 --model MambaSL --data UEA --e_layers 3 --batch_size 32 --d_model 128 --d_ff 256 --top_k 3 --des Exp --itr 1 --learning_rate 0.001 --train_epochs 1000 --patience 10 --seed 1234 --id 352527eb8c120f1eb4199259438259c5233bb17dfd4a852709529d33e5dc4fb2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4"/>
    <n v="1"/>
    <n v="16"/>
    <s v="./dataset/SelfRegulationSCP2/"/>
    <s v="Monthly"/>
    <n v="10"/>
    <b v="0"/>
    <s v="classification"/>
    <s v="352527eb8c120f1eb4199259438259c5233bb17dfd4a852709529d33e5dc4fb2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2', model='MambaSL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352527eb8c120f1eb4199259438259c5233bb17dfd4a852709529d33e5dc4fb2', device=device(type='cuda', index=0), num_class=2)"/>
    <x v="2"/>
    <s v="classification_SelfRegulationSCP2_MambaSL_UEA_ftM_sl1152_ll48_pl0_dm128_nh8_el3_dl1_df256_expand2_dc4_fc1_ebtimeF_dtTrue_Exp_0352527eb8c120f1eb4199259438259c5233bb17dfd4a852709529d33e5dc4fb2"/>
    <s v="None"/>
    <n v="115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b9cd3206a6134974b338dcea7089a6d2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9391535718961', 'TRAIN_END': '1778919431348092834', 'TEST_START': '1778919431348137151', 'TEST_END': '1778919432533778427'}"/>
    <n v="7"/>
    <s v="[128, 128]"/>
    <n v="0"/>
    <s v="SelfRegulationSCP2"/>
    <s v="moving_avg"/>
    <s v="352527eb8c120f1eb4199259438259c5233bb17dfd4a852709529d33e5dc4fb2"/>
    <n v="7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2_MambaSL_UEA_ftM_sl1152_ll48_pl0_dm128_nh8_el3_dl1_df256_expand2_dc4_fc1_ebtimeF_dtTrue_Exp_0352527eb8c120f1eb4199259438259c5233bb17dfd4a852709529d33e5dc4fb2"/>
    <s v="run.py"/>
    <s v="sunwu"/>
    <x v="3"/>
    <x v="113"/>
  </r>
  <r>
    <s v="9b1e9ab9384a4794bb555f4bab8e7a86"/>
    <n v="32"/>
    <s v="FINISHED"/>
    <s v="mlflow-artifacts:/32/9b1e9ab9384a4794bb555f4bab8e7a86/artifacts"/>
    <s v="2026-05-16 08:16:13.572000+00:00"/>
    <s v="2026-05-16 08:16:16.569000+00:00"/>
    <n v="1.7789193724381801E+18"/>
    <n v="0.87523164131599795"/>
    <n v="0.86235533372680795"/>
    <n v="0.39678814800000001"/>
    <n v="0.87523164131599795"/>
    <n v="1.77891937243807E+18"/>
    <n v="0.86348122866894195"/>
    <n v="1.77891937352354E+18"/>
    <n v="1.77891935289491E+18"/>
    <n v="17.38184091600000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1/ --model_id SelfRegulationSCP1 --model MambaSL --data UEA --e_layers 3 --batch_size 32 --d_model 128 --d_ff 256 --top_k 3 --des Exp --itr 1 --learning_rate 0.001 --train_epochs 1000 --patience 10 --seed 1234 --id fc7045e94d6ab410fd4fc89414aef2d6cbbac15905d5d25f94bfc7594cc53be3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4"/>
    <n v="1"/>
    <n v="16"/>
    <s v="./dataset/SelfRegulationSCP1/"/>
    <s v="Monthly"/>
    <n v="10"/>
    <b v="0"/>
    <s v="classification"/>
    <s v="fc7045e94d6ab410fd4fc89414aef2d6cbbac15905d5d25f94bfc7594cc53be3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1', model='MambaSL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fc7045e94d6ab410fd4fc89414aef2d6cbbac15905d5d25f94bfc7594cc53be3', device=device(type='cuda', index=0), num_class=2)"/>
    <x v="2"/>
    <s v="classification_SelfRegulationSCP1_MambaSL_UEA_ftM_sl896_ll48_pl0_dm128_nh8_el3_dl1_df256_expand2_dc4_fc1_ebtimeF_dtTrue_Exp_0fc7045e94d6ab410fd4fc89414aef2d6cbbac15905d5d25f94bfc7594cc53be3"/>
    <s v="None"/>
    <n v="896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898230e69ebe4ed7bf0e4c896c82b61a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9352894916719', 'TRAIN_END': '1778919372438076360', 'TEST_START': '1778919372438185179', 'TEST_END': '1778919373523545387'}"/>
    <n v="7"/>
    <s v="[128, 128]"/>
    <n v="0"/>
    <s v="SelfRegulationSCP1"/>
    <s v="moving_avg"/>
    <s v="fc7045e94d6ab410fd4fc89414aef2d6cbbac15905d5d25f94bfc7594cc53be3"/>
    <n v="6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1_MambaSL_UEA_ftM_sl896_ll48_pl0_dm128_nh8_el3_dl1_df256_expand2_dc4_fc1_ebtimeF_dtTrue_Exp_0fc7045e94d6ab410fd4fc89414aef2d6cbbac15905d5d25f94bfc7594cc53be3"/>
    <s v="run.py"/>
    <s v="sunwu"/>
    <x v="4"/>
    <x v="114"/>
  </r>
  <r>
    <s v="67693fd827cf4c48bb72b181c6aac85c"/>
    <n v="32"/>
    <s v="FINISHED"/>
    <s v="mlflow-artifacts:/32/67693fd827cf4c48bb72b181c6aac85c/artifacts"/>
    <s v="2026-05-16 08:15:34.322000+00:00"/>
    <s v="2026-05-16 08:15:37.823000+00:00"/>
    <n v="1.77891933303537E+18"/>
    <n v="0.97908536935936996"/>
    <n v="0.97847494270438595"/>
    <n v="0.42191436700000001"/>
    <n v="0.97908536935936996"/>
    <n v="1.7789193330352901E+18"/>
    <n v="0.97837837837837804"/>
    <n v="1.77891933427519E+18"/>
    <n v="1.7789192902341901E+18"/>
    <n v="41.0096439920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JapaneseVowels/ --model_id JapaneseVowels --model MambaSL --data UEA --e_layers 3 --batch_size 32 --d_model 128 --d_ff 256 --top_k 3 --des Exp --itr 1 --learning_rate 0.001 --train_epochs 1000 --patience 10 --seed 1234 --id e1969cdef68cb4c032836450c068d350494028d295ed292d7f220215fcbfff34"/>
    <n v="1"/>
    <b v="0"/>
    <b v="0"/>
    <s v="M"/>
    <n v="3"/>
    <b v="0"/>
    <n v="9"/>
    <n v="0"/>
    <n v="0"/>
    <b v="0"/>
    <n v="1E-3"/>
    <n v="256"/>
    <b v="1"/>
    <n v="1"/>
    <n v="3"/>
    <n v="0.1"/>
    <n v="0.1"/>
    <b v="0"/>
    <n v="32"/>
    <n v="1234"/>
    <n v="1"/>
    <n v="16"/>
    <s v="./dataset/JapaneseVowels/"/>
    <s v="Monthly"/>
    <n v="10"/>
    <b v="0"/>
    <s v="classification"/>
    <s v="e1969cdef68cb4c032836450c068d350494028d295ed292d7f220215fcbfff34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JapaneseVowels', model='MambaSL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e1969cdef68cb4c032836450c068d350494028d295ed292d7f220215fcbfff34', device=device(type='cuda', index=0), num_class=9)"/>
    <x v="2"/>
    <s v="classification_JapaneseVowels_MambaSL_UEA_ftM_sl29_ll48_pl0_dm128_nh8_el3_dl1_df256_expand2_dc4_fc1_ebtimeF_dtTrue_Exp_0e1969cdef68cb4c032836450c068d350494028d295ed292d7f220215fcbfff34"/>
    <s v="None"/>
    <n v="29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fa37dac209ee440c92da85ac75f282d4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9290234198444', 'TRAIN_END': '1778919333035291295', 'TEST_START': '1778919333035379472', 'TEST_END': '1778919334275199469'}"/>
    <n v="7"/>
    <s v="[128, 128]"/>
    <n v="0"/>
    <s v="JapaneseVowels"/>
    <s v="moving_avg"/>
    <s v="e1969cdef68cb4c032836450c068d350494028d295ed292d7f220215fcbfff34"/>
    <n v="12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JapaneseVowels_MambaSL_UEA_ftM_sl29_ll48_pl0_dm128_nh8_el3_dl1_df256_expand2_dc4_fc1_ebtimeF_dtTrue_Exp_0e1969cdef68cb4c032836450c068d350494028d295ed292d7f220215fcbfff34"/>
    <s v="run.py"/>
    <s v="sunwu"/>
    <x v="5"/>
    <x v="115"/>
  </r>
  <r>
    <s v="e6f7342e9362451fbba7b2302396c05c"/>
    <n v="32"/>
    <s v="FINISHED"/>
    <s v="mlflow-artifacts:/32/e6f7342e9362451fbba7b2302396c05c/artifacts"/>
    <s v="2026-05-16 08:14:35.210000+00:00"/>
    <s v="2026-05-16 08:14:38.193000+00:00"/>
    <n v="1.77891927167474E+18"/>
    <n v="0.77605775357511098"/>
    <n v="0.77855399820966498"/>
    <n v="0.44775320800000001"/>
    <n v="0.77605775357511098"/>
    <n v="1.7789192716746701E+18"/>
    <n v="0.78536585365853595"/>
    <n v="1.77891927516127E+18"/>
    <n v="1.77891922325246E+18"/>
    <n v="40.097080591999998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eartbeat/ --model_id Heartbeat --model MambaSL --data UEA --e_layers 3 --batch_size 32 --d_model 128 --d_ff 256 --top_k 3 --des Exp --itr 1 --learning_rate 0.001 --train_epochs 1000 --patience 10 --seed 1234 --id b5c5e33e7dcd31f72a0cc5b6936831cd924457aedd0cbd7a0fdbaadb2c0744d6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4"/>
    <n v="1"/>
    <n v="16"/>
    <s v="./dataset/Heartbeat/"/>
    <s v="Monthly"/>
    <n v="10"/>
    <b v="0"/>
    <s v="classification"/>
    <s v="b5c5e33e7dcd31f72a0cc5b6936831cd924457aedd0cbd7a0fdbaadb2c0744d6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eartbeat', model='MambaSL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b5c5e33e7dcd31f72a0cc5b6936831cd924457aedd0cbd7a0fdbaadb2c0744d6', device=device(type='cuda', index=0), num_class=2)"/>
    <x v="2"/>
    <s v="classification_Heartbeat_MambaSL_UEA_ftM_sl405_ll48_pl0_dm128_nh8_el3_dl1_df256_expand2_dc4_fc1_ebtimeF_dtTrue_Exp_0b5c5e33e7dcd31f72a0cc5b6936831cd924457aedd0cbd7a0fdbaadb2c0744d6"/>
    <s v="None"/>
    <n v="405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aa87e7562aa841139e6bf8b2f5023516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9223252468770', 'TRAIN_END': '1778919271674679019', 'TEST_START': '1778919271674743444', 'TEST_END': '1778919275161276905'}"/>
    <n v="7"/>
    <s v="[128, 128]"/>
    <n v="0"/>
    <s v="Heartbeat"/>
    <s v="moving_avg"/>
    <s v="b5c5e33e7dcd31f72a0cc5b6936831cd924457aedd0cbd7a0fdbaadb2c0744d6"/>
    <n v="61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eartbeat_MambaSL_UEA_ftM_sl405_ll48_pl0_dm128_nh8_el3_dl1_df256_expand2_dc4_fc1_ebtimeF_dtTrue_Exp_0b5c5e33e7dcd31f72a0cc5b6936831cd924457aedd0cbd7a0fdbaadb2c0744d6"/>
    <s v="run.py"/>
    <s v="sunwu"/>
    <x v="6"/>
    <x v="116"/>
  </r>
  <r>
    <s v="ca18ec362f0a4458b93a711cf19f0369"/>
    <n v="32"/>
    <s v="FINISHED"/>
    <s v="mlflow-artifacts:/32/ca18ec362f0a4458b93a711cf19f0369/artifacts"/>
    <s v="2026-05-16 08:07:21.506000+00:00"/>
    <s v="2026-05-16 08:07:24.757000+00:00"/>
    <n v="1.7789188400848901E+18"/>
    <n v="0.46970201955580698"/>
    <n v="0.44290612287320202"/>
    <n v="0.49424770800000001"/>
    <n v="0.46970201955580698"/>
    <n v="1.77891884008482E+18"/>
    <n v="0.47764705882352898"/>
    <n v="1.7789188414526001E+18"/>
    <n v="1.77891873889695E+18"/>
    <n v="99.598789961999998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andwriting/ --model_id Handwriting --model MambaSL --data UEA --e_layers 3 --batch_size 32 --d_model 128 --d_ff 256 --top_k 3 --des Exp --itr 1 --learning_rate 0.001 --train_epochs 1000 --patience 10 --seed 1234 --id 240c906a54d6f41e20146aabe74872456dd59b3a1bd24198bbc462fb26535e09"/>
    <n v="1"/>
    <b v="0"/>
    <b v="0"/>
    <s v="M"/>
    <n v="3"/>
    <b v="0"/>
    <n v="26"/>
    <n v="0"/>
    <n v="0"/>
    <b v="0"/>
    <n v="1E-3"/>
    <n v="256"/>
    <b v="1"/>
    <n v="1"/>
    <n v="3"/>
    <n v="0.1"/>
    <n v="0.1"/>
    <b v="0"/>
    <n v="32"/>
    <n v="1234"/>
    <n v="1"/>
    <n v="16"/>
    <s v="./dataset/Handwriting/"/>
    <s v="Monthly"/>
    <n v="10"/>
    <b v="0"/>
    <s v="classification"/>
    <s v="240c906a54d6f41e20146aabe74872456dd59b3a1bd24198bbc462fb26535e09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andwriting', model='MambaSL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240c906a54d6f41e20146aabe74872456dd59b3a1bd24198bbc462fb26535e09', device=device(type='cuda', index=0), num_class=26)"/>
    <x v="2"/>
    <s v="classification_Handwriting_MambaSL_UEA_ftM_sl152_ll48_pl0_dm128_nh8_el3_dl1_df256_expand2_dc4_fc1_ebtimeF_dtTrue_Exp_0240c906a54d6f41e20146aabe74872456dd59b3a1bd24198bbc462fb26535e09"/>
    <s v="None"/>
    <n v="15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85cc01b7451412b824cfcbe973f436b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8738896954588', 'TRAIN_END': '1778918840084821023', 'TEST_START': '1778918840084899830', 'TEST_END': '1778918841452609891'}"/>
    <n v="7"/>
    <s v="[128, 128]"/>
    <n v="0"/>
    <s v="Handwriting"/>
    <s v="moving_avg"/>
    <s v="240c906a54d6f41e20146aabe74872456dd59b3a1bd24198bbc462fb26535e09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andwriting_MambaSL_UEA_ftM_sl152_ll48_pl0_dm128_nh8_el3_dl1_df256_expand2_dc4_fc1_ebtimeF_dtTrue_Exp_0240c906a54d6f41e20146aabe74872456dd59b3a1bd24198bbc462fb26535e09"/>
    <s v="run.py"/>
    <s v="sunwu"/>
    <x v="7"/>
    <x v="117"/>
  </r>
  <r>
    <s v="e314cc3850994d9dbbec4cc0e458e466"/>
    <n v="32"/>
    <s v="FINISHED"/>
    <s v="mlflow-artifacts:/32/e314cc3850994d9dbbec4cc0e458e466/artifacts"/>
    <s v="2026-05-16 08:05:24.235000+00:00"/>
    <s v="2026-05-16 08:05:27.358000+00:00"/>
    <n v="1.77891869709486E+18"/>
    <n v="0.82237597662453099"/>
    <n v="0.78031316944602802"/>
    <n v="0.48081378400000002"/>
    <n v="0.82237597662453099"/>
    <n v="1.7789186970947999E+18"/>
    <n v="0.77456647398843903"/>
    <n v="1.7789187241846999E+18"/>
    <n v="1.77891851996046E+18"/>
    <n v="45.71705637600000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PEMS-SF/ --model_id PEMS-SF --model MambaSL --data UEA --e_layers 3 --batch_size 32 --d_model 128 --d_ff 256 --top_k 3 --des Exp --itr 1 --learning_rate 0.001 --train_epochs 1000 --patience 10 --seed 123 --id ae6016bbfbce5d6724d25c7f1232bfc5fb6ce89db4f2bee7d68e52188bb19e19"/>
    <n v="1"/>
    <b v="0"/>
    <b v="0"/>
    <s v="M"/>
    <n v="3"/>
    <b v="0"/>
    <n v="7"/>
    <n v="0"/>
    <n v="0"/>
    <b v="0"/>
    <n v="1E-3"/>
    <n v="256"/>
    <b v="1"/>
    <n v="1"/>
    <n v="3"/>
    <n v="0.1"/>
    <n v="0.1"/>
    <b v="0"/>
    <n v="32"/>
    <n v="123"/>
    <n v="1"/>
    <n v="16"/>
    <s v="./dataset/PEMS-SF/"/>
    <s v="Monthly"/>
    <n v="10"/>
    <b v="0"/>
    <s v="classification"/>
    <s v="ae6016bbfbce5d6724d25c7f1232bfc5fb6ce89db4f2bee7d68e52188bb19e19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PEMS-SF', model='MambaSL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ae6016bbfbce5d6724d25c7f1232bfc5fb6ce89db4f2bee7d68e52188bb19e19', device=device(type='cuda', index=0), num_class=7)"/>
    <x v="2"/>
    <s v="classification_PEMS-SF_MambaSL_UEA_ftM_sl144_ll48_pl0_dm128_nh8_el3_dl1_df256_expand2_dc4_fc1_ebtimeF_dtTrue_Exp_0ae6016bbfbce5d6724d25c7f1232bfc5fb6ce89db4f2bee7d68e52188bb19e19"/>
    <s v="None"/>
    <n v="144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27322b81929043b08fcd4d4449daebd8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8519960462305', 'TRAIN_END': '1778918697094807013', 'TEST_START': '1778918697094860395', 'TEST_END': '1778918724184706461'}"/>
    <n v="7"/>
    <s v="[128, 128]"/>
    <n v="0"/>
    <s v="PEMS-SF"/>
    <s v="moving_avg"/>
    <s v="ae6016bbfbce5d6724d25c7f1232bfc5fb6ce89db4f2bee7d68e52188bb19e19"/>
    <n v="96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PEMS-SF_MambaSL_UEA_ftM_sl144_ll48_pl0_dm128_nh8_el3_dl1_df256_expand2_dc4_fc1_ebtimeF_dtTrue_Exp_0ae6016bbfbce5d6724d25c7f1232bfc5fb6ce89db4f2bee7d68e52188bb19e19"/>
    <s v="run.py"/>
    <s v="sunwu"/>
    <x v="0"/>
    <x v="118"/>
  </r>
  <r>
    <s v="ae9f3aaf36b84417be423b73716a34fb"/>
    <n v="32"/>
    <s v="FINISHED"/>
    <s v="mlflow-artifacts:/32/ae9f3aaf36b84417be423b73716a34fb/artifacts"/>
    <s v="2026-05-16 08:04:19.416000+00:00"/>
    <s v="2026-05-16 08:04:23.523000+00:00"/>
    <n v="1.7789186577564401E+18"/>
    <n v="0.27600390065972302"/>
    <n v="0.26445203104013798"/>
    <n v="1.0196768140000001"/>
    <n v="0.27600390065972302"/>
    <n v="1.7789186577563899E+18"/>
    <n v="0.28136882129277502"/>
    <n v="1.77891865934803E+18"/>
    <n v="1.77891858986432E+18"/>
    <n v="66.164891265999998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EthanolConcentration/ --model_id EthanolConcentration --model MambaSL --data UEA --e_layers 3 --batch_size 32 --d_model 128 --d_ff 256 --top_k 3 --des Exp --itr 1 --learning_rate 0.001 --train_epochs 1000 --patience 10 --seed 1234 --id 5b8f5ef46eae752ce2b2425b706a5986b2b5cd71bbf86ffa8ba066886d2553a8"/>
    <n v="1"/>
    <b v="0"/>
    <b v="0"/>
    <s v="M"/>
    <n v="3"/>
    <b v="0"/>
    <n v="4"/>
    <n v="0"/>
    <n v="0"/>
    <b v="0"/>
    <n v="1E-3"/>
    <n v="256"/>
    <b v="1"/>
    <n v="1"/>
    <n v="3"/>
    <n v="0.1"/>
    <n v="0.1"/>
    <b v="0"/>
    <n v="32"/>
    <n v="1234"/>
    <n v="1"/>
    <n v="16"/>
    <s v="./dataset/EthanolConcentration/"/>
    <s v="Monthly"/>
    <n v="10"/>
    <b v="0"/>
    <s v="classification"/>
    <s v="5b8f5ef46eae752ce2b2425b706a5986b2b5cd71bbf86ffa8ba066886d2553a8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EthanolConcentration', model='MambaSL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5b8f5ef46eae752ce2b2425b706a5986b2b5cd71bbf86ffa8ba066886d2553a8', device=device(type='cuda', index=0), num_class=4)"/>
    <x v="2"/>
    <s v="classification_EthanolConcentration_MambaSL_UEA_ftM_sl1751_ll48_pl0_dm128_nh8_el3_dl1_df256_expand2_dc4_fc1_ebtimeF_dtTrue_Exp_05b8f5ef46eae752ce2b2425b706a5986b2b5cd71bbf86ffa8ba066886d2553a8"/>
    <s v="None"/>
    <n v="1751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0db8d8c3b1e488abc888526f825a19a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8589864329102', 'TRAIN_END': '1778918657756399713', 'TEST_START': '1778918657756440312', 'TEST_END': '1778918659348039313'}"/>
    <n v="7"/>
    <s v="[128, 128]"/>
    <n v="0"/>
    <s v="EthanolConcentration"/>
    <s v="moving_avg"/>
    <s v="5b8f5ef46eae752ce2b2425b706a5986b2b5cd71bbf86ffa8ba066886d2553a8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EthanolConcentration_MambaSL_UEA_ftM_sl1751_ll48_pl0_dm128_nh8_el3_dl1_df256_expand2_dc4_fc1_ebtimeF_dtTrue_Exp_05b8f5ef46eae752ce2b2425b706a5986b2b5cd71bbf86ffa8ba066886d2553a8"/>
    <s v="run.py"/>
    <s v="sunwu"/>
    <x v="8"/>
    <x v="119"/>
  </r>
  <r>
    <s v="7a9e713a8d2d4ceea4fa9fc8fd3b3773"/>
    <n v="32"/>
    <s v="FINISHED"/>
    <s v="mlflow-artifacts:/32/7a9e713a8d2d4ceea4fa9fc8fd3b3773/artifacts"/>
    <s v="2026-05-16 08:02:48.470000+00:00"/>
    <s v="2026-05-16 08:02:51.664000+00:00"/>
    <n v="1.7789185677833999E+18"/>
    <n v="0.89937020216625396"/>
    <n v="0.89621688127514698"/>
    <n v="0.32740793899999998"/>
    <n v="0.89937020216625396"/>
    <n v="1.7789185677833001E+18"/>
    <n v="0.89687499999999998"/>
    <n v="1.77891856842381E+18"/>
    <n v="1.77891838813425E+18"/>
    <n v="178.7532845709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UWaveGestureLibrary/ --model_id UWaveGestureLibrary --model MambaSL --data UEA --e_layers 3 --batch_size 32 --d_model 128 --d_ff 256 --top_k 3 --des Exp --itr 1 --learning_rate 0.001 --train_epochs 1000 --patience 10 --seed 1234 --id f1ad8246ffdf523819ad208674a5c808bb930d69f3ec304a0afb1d5aab6b2a47"/>
    <n v="1"/>
    <b v="0"/>
    <b v="0"/>
    <s v="M"/>
    <n v="3"/>
    <b v="0"/>
    <n v="8"/>
    <n v="0"/>
    <n v="0"/>
    <b v="0"/>
    <n v="1E-3"/>
    <n v="256"/>
    <b v="1"/>
    <n v="1"/>
    <n v="3"/>
    <n v="0.1"/>
    <n v="0.1"/>
    <b v="0"/>
    <n v="32"/>
    <n v="1234"/>
    <n v="1"/>
    <n v="16"/>
    <s v="./dataset/UWaveGestureLibrary/"/>
    <s v="Monthly"/>
    <n v="10"/>
    <b v="0"/>
    <s v="classification"/>
    <s v="f1ad8246ffdf523819ad208674a5c808bb930d69f3ec304a0afb1d5aab6b2a47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UWaveGestureLibrary', model='MambaSL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f1ad8246ffdf523819ad208674a5c808bb930d69f3ec304a0afb1d5aab6b2a47', device=device(type='cuda', index=0), num_class=8)"/>
    <x v="2"/>
    <s v="classification_UWaveGestureLibrary_MambaSL_UEA_ftM_sl315_ll48_pl0_dm128_nh8_el3_dl1_df256_expand2_dc4_fc1_ebtimeF_dtTrue_Exp_0f1ad8246ffdf523819ad208674a5c808bb930d69f3ec304a0afb1d5aab6b2a47"/>
    <s v="None"/>
    <n v="315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5a7a2adb0fd7405cbea99f972e9f9aeb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8388134257346', 'TRAIN_END': '1778918567783309600', 'TEST_START': '1778918567783405380', 'TEST_END': '1778918568423811251'}"/>
    <n v="7"/>
    <s v="[128, 128]"/>
    <n v="0"/>
    <s v="UWaveGestureLibrary"/>
    <s v="moving_avg"/>
    <s v="f1ad8246ffdf523819ad208674a5c808bb930d69f3ec304a0afb1d5aab6b2a47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UWaveGestureLibrary_MambaSL_UEA_ftM_sl315_ll48_pl0_dm128_nh8_el3_dl1_df256_expand2_dc4_fc1_ebtimeF_dtTrue_Exp_0f1ad8246ffdf523819ad208674a5c808bb930d69f3ec304a0afb1d5aab6b2a47"/>
    <s v="run.py"/>
    <s v="sunwu"/>
    <x v="9"/>
    <x v="120"/>
  </r>
  <r>
    <s v="69cd7306348142babbadef390b0ea423"/>
    <n v="32"/>
    <s v="FINISHED"/>
    <s v="mlflow-artifacts:/32/69cd7306348142babbadef390b0ea423/artifacts"/>
    <s v="2026-05-16 07:59:31.857000+00:00"/>
    <s v="2026-05-16 07:59:34.950000+00:00"/>
    <n v="1.77891836686894E+18"/>
    <n v="0.99068378716320005"/>
    <n v="0.990463655218216"/>
    <n v="0.59257626799999996"/>
    <n v="0.99068378716320005"/>
    <n v="1.7789183668688699E+18"/>
    <n v="0.990450204638472"/>
    <n v="1.77891837179938E+18"/>
    <n v="1.77891823311917E+18"/>
    <n v="112.1515474299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pokenArabicDigits/ --model_id SpokenArabicDigits --model MambaSL --data UEA --e_layers 3 --batch_size 32 --d_model 128 --d_ff 256 --top_k 3 --des Exp --itr 1 --learning_rate 0.001 --train_epochs 1000 --patience 10 --seed 123 --id ec59c8f146b03a0e8ef532aa37fa8caf9a678a4f860275267a769c33464be450"/>
    <n v="1"/>
    <b v="0"/>
    <b v="0"/>
    <s v="M"/>
    <n v="3"/>
    <b v="0"/>
    <n v="10"/>
    <n v="0"/>
    <n v="0"/>
    <b v="0"/>
    <n v="1E-3"/>
    <n v="256"/>
    <b v="1"/>
    <n v="1"/>
    <n v="3"/>
    <n v="0.1"/>
    <n v="0.1"/>
    <b v="0"/>
    <n v="32"/>
    <n v="123"/>
    <n v="1"/>
    <n v="16"/>
    <s v="./dataset/SpokenArabicDigits/"/>
    <s v="Monthly"/>
    <n v="10"/>
    <b v="0"/>
    <s v="classification"/>
    <s v="ec59c8f146b03a0e8ef532aa37fa8caf9a678a4f860275267a769c33464be450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pokenArabicDigits', model='MambaSL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ec59c8f146b03a0e8ef532aa37fa8caf9a678a4f860275267a769c33464be450', device=device(type='cuda', index=0), num_class=10)"/>
    <x v="2"/>
    <s v="classification_SpokenArabicDigits_MambaSL_UEA_ftM_sl93_ll48_pl0_dm128_nh8_el3_dl1_df256_expand2_dc4_fc1_ebtimeF_dtTrue_Exp_0ec59c8f146b03a0e8ef532aa37fa8caf9a678a4f860275267a769c33464be450"/>
    <s v="None"/>
    <n v="93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0f0ed112769945c18ac99e1eeb6acd42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8233119174135', 'TRAIN_END': '1778918366868878247', 'TEST_START': '1778918366868947350', 'TEST_END': '1778918371799389345'}"/>
    <n v="7"/>
    <s v="[128, 128]"/>
    <n v="0"/>
    <s v="SpokenArabicDigits"/>
    <s v="moving_avg"/>
    <s v="ec59c8f146b03a0e8ef532aa37fa8caf9a678a4f860275267a769c33464be450"/>
    <n v="1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pokenArabicDigits_MambaSL_UEA_ftM_sl93_ll48_pl0_dm128_nh8_el3_dl1_df256_expand2_dc4_fc1_ebtimeF_dtTrue_Exp_0ec59c8f146b03a0e8ef532aa37fa8caf9a678a4f860275267a769c33464be450"/>
    <s v="run.py"/>
    <s v="sunwu"/>
    <x v="1"/>
    <x v="121"/>
  </r>
  <r>
    <s v="cdd22f6d17404d1fa5720445f13b8810"/>
    <n v="32"/>
    <s v="FINISHED"/>
    <s v="mlflow-artifacts:/32/cdd22f6d17404d1fa5720445f13b8810/artifacts"/>
    <s v="2026-05-16 07:59:31.391000+00:00"/>
    <s v="2026-05-16 07:59:36.763000+00:00"/>
    <n v="1.77891830531474E+18"/>
    <n v="0.658137587855391"/>
    <n v="0.65538602767352006"/>
    <n v="0.82180531499999998"/>
    <n v="0.658137587855391"/>
    <n v="1.7789183053146701E+18"/>
    <n v="0.656356413166855"/>
    <n v="1.7789183713315599E+18"/>
    <n v="1.77891797998542E+18"/>
    <n v="56.28691454999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FaceDetection/ --model_id FaceDetection --model MambaSL --data UEA --e_layers 3 --batch_size 32 --d_model 128 --d_ff 256 --top_k 3 --des Exp --itr 1 --learning_rate 0.001 --train_epochs 1000 --patience 10 --seed 123 --id 6ac21f17a48d571142285907ca100c8f7a84971dd413e150f61709cb2b52b355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"/>
    <n v="1"/>
    <n v="16"/>
    <s v="./dataset/FaceDetection/"/>
    <s v="Monthly"/>
    <n v="10"/>
    <b v="0"/>
    <s v="classification"/>
    <s v="6ac21f17a48d571142285907ca100c8f7a84971dd413e150f61709cb2b52b355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FaceDetection', model='MambaSL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6ac21f17a48d571142285907ca100c8f7a84971dd413e150f61709cb2b52b355', device=device(type='cuda', index=0), num_class=2)"/>
    <x v="2"/>
    <s v="classification_FaceDetection_MambaSL_UEA_ftM_sl62_ll48_pl0_dm128_nh8_el3_dl1_df256_expand2_dc4_fc1_ebtimeF_dtTrue_Exp_06ac21f17a48d571142285907ca100c8f7a84971dd413e150f61709cb2b52b355"/>
    <s v="None"/>
    <n v="6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1f2eeaf6e5ec4cc38ca4ac68556d948c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7979985427284', 'TRAIN_END': '1778918305314678930', 'TEST_START': '1778918305314749129', 'TEST_END': '1778918371331564753'}"/>
    <n v="7"/>
    <s v="[128, 128]"/>
    <n v="0"/>
    <s v="FaceDetection"/>
    <s v="moving_avg"/>
    <s v="6ac21f17a48d571142285907ca100c8f7a84971dd413e150f61709cb2b52b355"/>
    <n v="144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FaceDetection_MambaSL_UEA_ftM_sl62_ll48_pl0_dm128_nh8_el3_dl1_df256_expand2_dc4_fc1_ebtimeF_dtTrue_Exp_06ac21f17a48d571142285907ca100c8f7a84971dd413e150f61709cb2b52b355"/>
    <s v="run.py"/>
    <s v="sunwu"/>
    <x v="2"/>
    <x v="122"/>
  </r>
  <r>
    <s v="c855ba965a5941d4871f895b19a252e5"/>
    <n v="32"/>
    <s v="FINISHED"/>
    <s v="mlflow-artifacts:/32/c855ba965a5941d4871f895b19a252e5/artifacts"/>
    <s v="2026-05-16 07:56:35.390000+00:00"/>
    <s v="2026-05-16 07:56:38.422000+00:00"/>
    <n v="1.77891819404034E+18"/>
    <n v="0.58641659198566098"/>
    <n v="0.57958332035750904"/>
    <n v="0.76616374499999995"/>
    <n v="0.58641659198566098"/>
    <n v="1.77891819404029E+18"/>
    <n v="0.58333333333333304"/>
    <n v="1.7789181953441999E+18"/>
    <n v="1.77891814769633E+18"/>
    <n v="44.6237488330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2/ --model_id SelfRegulationSCP2 --model MambaSL --data UEA --e_layers 3 --batch_size 32 --d_model 128 --d_ff 256 --top_k 3 --des Exp --itr 1 --learning_rate 0.001 --train_epochs 1000 --patience 10 --seed 123 --id 5755ccb5953b89d92d7522c99cad3b15131724c7e0a0655b43be71731f7d381e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"/>
    <n v="1"/>
    <n v="16"/>
    <s v="./dataset/SelfRegulationSCP2/"/>
    <s v="Monthly"/>
    <n v="10"/>
    <b v="0"/>
    <s v="classification"/>
    <s v="5755ccb5953b89d92d7522c99cad3b15131724c7e0a0655b43be71731f7d381e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2', model='MambaSL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5755ccb5953b89d92d7522c99cad3b15131724c7e0a0655b43be71731f7d381e', device=device(type='cuda', index=0), num_class=2)"/>
    <x v="2"/>
    <s v="classification_SelfRegulationSCP2_MambaSL_UEA_ftM_sl1152_ll48_pl0_dm128_nh8_el3_dl1_df256_expand2_dc4_fc1_ebtimeF_dtTrue_Exp_05755ccb5953b89d92d7522c99cad3b15131724c7e0a0655b43be71731f7d381e"/>
    <s v="None"/>
    <n v="115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f5abb52a83a41aa80df4d314d38dcdb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8147696330767', 'TRAIN_END': '1778918194040290404', 'TEST_START': '1778918194040340746', 'TEST_END': '1778918195344204232'}"/>
    <n v="7"/>
    <s v="[128, 128]"/>
    <n v="0"/>
    <s v="SelfRegulationSCP2"/>
    <s v="moving_avg"/>
    <s v="5755ccb5953b89d92d7522c99cad3b15131724c7e0a0655b43be71731f7d381e"/>
    <n v="7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2_MambaSL_UEA_ftM_sl1152_ll48_pl0_dm128_nh8_el3_dl1_df256_expand2_dc4_fc1_ebtimeF_dtTrue_Exp_05755ccb5953b89d92d7522c99cad3b15131724c7e0a0655b43be71731f7d381e"/>
    <s v="run.py"/>
    <s v="sunwu"/>
    <x v="3"/>
    <x v="123"/>
  </r>
  <r>
    <s v="c87f33e197f14494ba008d1321be6f54"/>
    <n v="32"/>
    <s v="FINISHED"/>
    <s v="mlflow-artifacts:/32/c87f33e197f14494ba008d1321be6f54/artifacts"/>
    <s v="2026-05-16 07:55:27.320000+00:00"/>
    <s v="2026-05-16 07:55:30.365000+00:00"/>
    <n v="1.77891812617427E+18"/>
    <n v="0.870325982197801"/>
    <n v="0.862809887764588"/>
    <n v="0.41004577800000003"/>
    <n v="0.870325982197801"/>
    <n v="1.7789181261742001E+18"/>
    <n v="0.86348122866894195"/>
    <n v="1.7789181272639099E+18"/>
    <n v="1.7789181080708401E+18"/>
    <n v="15.957406228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1/ --model_id SelfRegulationSCP1 --model MambaSL --data UEA --e_layers 3 --batch_size 32 --d_model 128 --d_ff 256 --top_k 3 --des Exp --itr 1 --learning_rate 0.001 --train_epochs 1000 --patience 10 --seed 123 --id 0386fb3b64633c3544dec67b6193cdb01901fa3ee42baf3c1411673dd5bc7aee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"/>
    <n v="1"/>
    <n v="16"/>
    <s v="./dataset/SelfRegulationSCP1/"/>
    <s v="Monthly"/>
    <n v="10"/>
    <b v="0"/>
    <s v="classification"/>
    <s v="0386fb3b64633c3544dec67b6193cdb01901fa3ee42baf3c1411673dd5bc7aee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1', model='MambaSL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0386fb3b64633c3544dec67b6193cdb01901fa3ee42baf3c1411673dd5bc7aee', device=device(type='cuda', index=0), num_class=2)"/>
    <x v="2"/>
    <s v="classification_SelfRegulationSCP1_MambaSL_UEA_ftM_sl896_ll48_pl0_dm128_nh8_el3_dl1_df256_expand2_dc4_fc1_ebtimeF_dtTrue_Exp_00386fb3b64633c3544dec67b6193cdb01901fa3ee42baf3c1411673dd5bc7aee"/>
    <s v="None"/>
    <n v="896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9ad849bc798f41cdb40b6fb1553fcd64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8108070843415', 'TRAIN_END': '1778918126174201575', 'TEST_START': '1778918126174273479', 'TEST_END': '1778918127263912326'}"/>
    <n v="7"/>
    <s v="[128, 128]"/>
    <n v="0"/>
    <s v="SelfRegulationSCP1"/>
    <s v="moving_avg"/>
    <s v="0386fb3b64633c3544dec67b6193cdb01901fa3ee42baf3c1411673dd5bc7aee"/>
    <n v="6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1_MambaSL_UEA_ftM_sl896_ll48_pl0_dm128_nh8_el3_dl1_df256_expand2_dc4_fc1_ebtimeF_dtTrue_Exp_00386fb3b64633c3544dec67b6193cdb01901fa3ee42baf3c1411673dd5bc7aee"/>
    <s v="run.py"/>
    <s v="sunwu"/>
    <x v="4"/>
    <x v="124"/>
  </r>
  <r>
    <s v="b7ffc47308044cadb72a98170e4bc9c8"/>
    <n v="32"/>
    <s v="FINISHED"/>
    <s v="mlflow-artifacts:/32/b7ffc47308044cadb72a98170e4bc9c8/artifacts"/>
    <s v="2026-05-16 07:54:49.042000+00:00"/>
    <s v="2026-05-16 07:54:51.975000+00:00"/>
    <n v="1.7789180878213199E+18"/>
    <n v="0.97140544658330796"/>
    <n v="0.97048141146595601"/>
    <n v="0.39382977299999999"/>
    <n v="0.97140544658330796"/>
    <n v="1.7789180878212101E+18"/>
    <n v="0.97027027027027002"/>
    <n v="1.7789180889983501E+18"/>
    <n v="1.77891803701808E+18"/>
    <n v="49.0066608670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JapaneseVowels/ --model_id JapaneseVowels --model MambaSL --data UEA --e_layers 3 --batch_size 32 --d_model 128 --d_ff 256 --top_k 3 --des Exp --itr 1 --learning_rate 0.001 --train_epochs 1000 --patience 10 --seed 123 --id 28eaeac662ac419d54c7c14788410cea7829ddd8c115f3894dbfc61041797061"/>
    <n v="1"/>
    <b v="0"/>
    <b v="0"/>
    <s v="M"/>
    <n v="3"/>
    <b v="0"/>
    <n v="9"/>
    <n v="0"/>
    <n v="0"/>
    <b v="0"/>
    <n v="1E-3"/>
    <n v="256"/>
    <b v="1"/>
    <n v="1"/>
    <n v="3"/>
    <n v="0.1"/>
    <n v="0.1"/>
    <b v="0"/>
    <n v="32"/>
    <n v="123"/>
    <n v="1"/>
    <n v="16"/>
    <s v="./dataset/JapaneseVowels/"/>
    <s v="Monthly"/>
    <n v="10"/>
    <b v="0"/>
    <s v="classification"/>
    <s v="28eaeac662ac419d54c7c14788410cea7829ddd8c115f3894dbfc61041797061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JapaneseVowels', model='MambaSL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28eaeac662ac419d54c7c14788410cea7829ddd8c115f3894dbfc61041797061', device=device(type='cuda', index=0), num_class=9)"/>
    <x v="2"/>
    <s v="classification_JapaneseVowels_MambaSL_UEA_ftM_sl29_ll48_pl0_dm128_nh8_el3_dl1_df256_expand2_dc4_fc1_ebtimeF_dtTrue_Exp_028eaeac662ac419d54c7c14788410cea7829ddd8c115f3894dbfc61041797061"/>
    <s v="None"/>
    <n v="29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6d2510704dfa46a0940ff67e2f29e498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8037018085236', 'TRAIN_END': '1778918087821217351', 'TEST_START': '1778918087821324695', 'TEST_END': '1778918088998359065'}"/>
    <n v="7"/>
    <s v="[128, 128]"/>
    <n v="0"/>
    <s v="JapaneseVowels"/>
    <s v="moving_avg"/>
    <s v="28eaeac662ac419d54c7c14788410cea7829ddd8c115f3894dbfc61041797061"/>
    <n v="12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JapaneseVowels_MambaSL_UEA_ftM_sl29_ll48_pl0_dm128_nh8_el3_dl1_df256_expand2_dc4_fc1_ebtimeF_dtTrue_Exp_028eaeac662ac419d54c7c14788410cea7829ddd8c115f3894dbfc61041797061"/>
    <s v="run.py"/>
    <s v="sunwu"/>
    <x v="5"/>
    <x v="125"/>
  </r>
  <r>
    <s v="f477460616174eeeaa3e2db3fe570abe"/>
    <n v="32"/>
    <s v="FINISHED"/>
    <s v="mlflow-artifacts:/32/f477460616174eeeaa3e2db3fe570abe/artifacts"/>
    <s v="2026-05-16 07:53:42.176000+00:00"/>
    <s v="2026-05-16 07:53:45.174000+00:00"/>
    <n v="1.77891801892435E+18"/>
    <n v="0.76410569105690995"/>
    <n v="0.76678156850323198"/>
    <n v="0.37446563799999999"/>
    <n v="0.76410569105690995"/>
    <n v="1.77891801892429E+18"/>
    <n v="0.775609756097561"/>
    <n v="1.77891802212289E+18"/>
    <n v="1.7789179737109299E+18"/>
    <n v="36.745812166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eartbeat/ --model_id Heartbeat --model MambaSL --data UEA --e_layers 3 --batch_size 32 --d_model 128 --d_ff 256 --top_k 3 --des Exp --itr 1 --learning_rate 0.001 --train_epochs 1000 --patience 10 --seed 123 --id caae27a2e6502ac7212b49ff3d5f3f65acbd59bf9d3649e7c0074ff725cade3c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"/>
    <n v="1"/>
    <n v="16"/>
    <s v="./dataset/Heartbeat/"/>
    <s v="Monthly"/>
    <n v="10"/>
    <b v="0"/>
    <s v="classification"/>
    <s v="caae27a2e6502ac7212b49ff3d5f3f65acbd59bf9d3649e7c0074ff725cade3c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eartbeat', model='MambaSL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caae27a2e6502ac7212b49ff3d5f3f65acbd59bf9d3649e7c0074ff725cade3c', device=device(type='cuda', index=0), num_class=2)"/>
    <x v="2"/>
    <s v="classification_Heartbeat_MambaSL_UEA_ftM_sl405_ll48_pl0_dm128_nh8_el3_dl1_df256_expand2_dc4_fc1_ebtimeF_dtTrue_Exp_0caae27a2e6502ac7212b49ff3d5f3f65acbd59bf9d3649e7c0074ff725cade3c"/>
    <s v="None"/>
    <n v="405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21cb85e45df849c7baf60d195fd819ba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7973710933365', 'TRAIN_END': '1778918018924296717', 'TEST_START': '1778918018924351225', 'TEST_END': '1778918022122898254'}"/>
    <n v="7"/>
    <s v="[128, 128]"/>
    <n v="0"/>
    <s v="Heartbeat"/>
    <s v="moving_avg"/>
    <s v="caae27a2e6502ac7212b49ff3d5f3f65acbd59bf9d3649e7c0074ff725cade3c"/>
    <n v="61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eartbeat_MambaSL_UEA_ftM_sl405_ll48_pl0_dm128_nh8_el3_dl1_df256_expand2_dc4_fc1_ebtimeF_dtTrue_Exp_0caae27a2e6502ac7212b49ff3d5f3f65acbd59bf9d3649e7c0074ff725cade3c"/>
    <s v="run.py"/>
    <s v="sunwu"/>
    <x v="6"/>
    <x v="126"/>
  </r>
  <r>
    <s v="cdb396b6683d41c7bf1495ba71a33d77"/>
    <n v="32"/>
    <s v="FINISHED"/>
    <s v="mlflow-artifacts:/32/cdb396b6683d41c7bf1495ba71a33d77/artifacts"/>
    <s v="2026-05-16 07:52:24.046000+00:00"/>
    <s v="2026-05-16 07:52:27.256000+00:00"/>
    <n v="1.7789179426439199E+18"/>
    <n v="0.47658593779991898"/>
    <n v="0.43243111311471399"/>
    <n v="0.48387992899999999"/>
    <n v="0.47658593779991898"/>
    <n v="1.77891794264383E+18"/>
    <n v="0.45294117647058801"/>
    <n v="1.77891794399855E+18"/>
    <n v="1.7789178163685E+18"/>
    <n v="124.6178820699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andwriting/ --model_id Handwriting --model MambaSL --data UEA --e_layers 3 --batch_size 32 --d_model 128 --d_ff 256 --top_k 3 --des Exp --itr 1 --learning_rate 0.001 --train_epochs 1000 --patience 10 --seed 123 --id 1ca216415334ce01ea17d0f599d5cc7b1124cebe9046f60675453cafae784f57"/>
    <n v="1"/>
    <b v="0"/>
    <b v="0"/>
    <s v="M"/>
    <n v="3"/>
    <b v="0"/>
    <n v="26"/>
    <n v="0"/>
    <n v="0"/>
    <b v="0"/>
    <n v="1E-3"/>
    <n v="256"/>
    <b v="1"/>
    <n v="1"/>
    <n v="3"/>
    <n v="0.1"/>
    <n v="0.1"/>
    <b v="0"/>
    <n v="32"/>
    <n v="123"/>
    <n v="1"/>
    <n v="16"/>
    <s v="./dataset/Handwriting/"/>
    <s v="Monthly"/>
    <n v="10"/>
    <b v="0"/>
    <s v="classification"/>
    <s v="1ca216415334ce01ea17d0f599d5cc7b1124cebe9046f60675453cafae784f57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andwriting', model='MambaSL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1ca216415334ce01ea17d0f599d5cc7b1124cebe9046f60675453cafae784f57', device=device(type='cuda', index=0), num_class=26)"/>
    <x v="2"/>
    <s v="classification_Handwriting_MambaSL_UEA_ftM_sl152_ll48_pl0_dm128_nh8_el3_dl1_df256_expand2_dc4_fc1_ebtimeF_dtTrue_Exp_01ca216415334ce01ea17d0f599d5cc7b1124cebe9046f60675453cafae784f57"/>
    <s v="None"/>
    <n v="15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71e3b4b908b14a9586c4f0a3d4ed491e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7816368509178', 'TRAIN_END': '1778917942643830286', 'TEST_START': '1778917942643921520', 'TEST_END': '1778917943998555730'}"/>
    <n v="7"/>
    <s v="[128, 128]"/>
    <n v="0"/>
    <s v="Handwriting"/>
    <s v="moving_avg"/>
    <s v="1ca216415334ce01ea17d0f599d5cc7b1124cebe9046f60675453cafae784f57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andwriting_MambaSL_UEA_ftM_sl152_ll48_pl0_dm128_nh8_el3_dl1_df256_expand2_dc4_fc1_ebtimeF_dtTrue_Exp_01ca216415334ce01ea17d0f599d5cc7b1124cebe9046f60675453cafae784f57"/>
    <s v="run.py"/>
    <s v="sunwu"/>
    <x v="7"/>
    <x v="127"/>
  </r>
  <r>
    <s v="c9301cecd3614a0d934389466fd86d62"/>
    <n v="32"/>
    <s v="FINISHED"/>
    <s v="mlflow-artifacts:/32/c9301cecd3614a0d934389466fd86d62/artifacts"/>
    <s v="2026-05-16 07:50:00.371000+00:00"/>
    <s v="2026-05-16 07:50:04.558000+00:00"/>
    <n v="1.7789177728190999E+18"/>
    <n v="0.83562226768231196"/>
    <n v="0.76279876583608597"/>
    <n v="0.55199746999999999"/>
    <n v="0.83562226768231196"/>
    <n v="1.77891777281904E+18"/>
    <n v="0.76300578034681998"/>
    <n v="1.7789178003216901E+18"/>
    <n v="1.7789176070377999E+18"/>
    <n v="48.029025285000003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PEMS-SF/ --model_id PEMS-SF --model MambaSL --data UEA --e_layers 3 --batch_size 32 --d_model 128 --d_ff 256 --top_k 3 --des Exp --itr 1 --learning_rate 0.001 --train_epochs 1000 --patience 10 --seed 42 --id a406b05ee9e17629642db4c77e01a8235134747b39a4e07d0fd725159d8b779f"/>
    <n v="1"/>
    <b v="0"/>
    <b v="0"/>
    <s v="M"/>
    <n v="3"/>
    <b v="0"/>
    <n v="7"/>
    <n v="0"/>
    <n v="0"/>
    <b v="0"/>
    <n v="1E-3"/>
    <n v="256"/>
    <b v="1"/>
    <n v="1"/>
    <n v="3"/>
    <n v="0.1"/>
    <n v="0.1"/>
    <b v="0"/>
    <n v="32"/>
    <n v="42"/>
    <n v="1"/>
    <n v="16"/>
    <s v="./dataset/PEMS-SF/"/>
    <s v="Monthly"/>
    <n v="10"/>
    <b v="0"/>
    <s v="classification"/>
    <s v="a406b05ee9e17629642db4c77e01a8235134747b39a4e07d0fd725159d8b779f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PEMS-SF', model='MambaSL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a406b05ee9e17629642db4c77e01a8235134747b39a4e07d0fd725159d8b779f', device=device(type='cuda', index=0), num_class=7)"/>
    <x v="2"/>
    <s v="classification_PEMS-SF_MambaSL_UEA_ftM_sl144_ll48_pl0_dm128_nh8_el3_dl1_df256_expand2_dc4_fc1_ebtimeF_dtTrue_Exp_0a406b05ee9e17629642db4c77e01a8235134747b39a4e07d0fd725159d8b779f"/>
    <s v="None"/>
    <n v="144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070458a72298402599a6b0b1979405c1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7607037802325', 'TRAIN_END': '1778917772819042077', 'TEST_START': '1778917772819107249', 'TEST_END': '1778917800321696805'}"/>
    <n v="7"/>
    <s v="[128, 128]"/>
    <n v="0"/>
    <s v="PEMS-SF"/>
    <s v="moving_avg"/>
    <s v="a406b05ee9e17629642db4c77e01a8235134747b39a4e07d0fd725159d8b779f"/>
    <n v="96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PEMS-SF_MambaSL_UEA_ftM_sl144_ll48_pl0_dm128_nh8_el3_dl1_df256_expand2_dc4_fc1_ebtimeF_dtTrue_Exp_0a406b05ee9e17629642db4c77e01a8235134747b39a4e07d0fd725159d8b779f"/>
    <s v="run.py"/>
    <s v="sunwu"/>
    <x v="0"/>
    <x v="128"/>
  </r>
  <r>
    <s v="72b2f501d89a4fcf8ea9cbebd49285d3"/>
    <n v="32"/>
    <s v="FINISHED"/>
    <s v="mlflow-artifacts:/32/72b2f501d89a4fcf8ea9cbebd49285d3/artifacts"/>
    <s v="2026-05-16 07:48:06.861000+00:00"/>
    <s v="2026-05-16 07:48:09.905000+00:00"/>
    <n v="1.77891768544078E+18"/>
    <n v="0.25591824113400902"/>
    <n v="0.25332961953901001"/>
    <n v="0.805954379"/>
    <n v="0.25591824113400902"/>
    <n v="1.7789176854406999E+18"/>
    <n v="0.25855513307984701"/>
    <n v="1.7789176868105001E+18"/>
    <n v="1.77891764763184E+18"/>
    <n v="35.985660578999997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EthanolConcentration/ --model_id EthanolConcentration --model MambaSL --data UEA --e_layers 3 --batch_size 32 --d_model 128 --d_ff 256 --top_k 3 --des Exp --itr 1 --learning_rate 0.001 --train_epochs 1000 --patience 10 --seed 123 --id 220dd8ba1c134475e6cad15e6803fe334b00d8e5dee3764d2c6f5be990e968f0"/>
    <n v="1"/>
    <b v="0"/>
    <b v="0"/>
    <s v="M"/>
    <n v="3"/>
    <b v="0"/>
    <n v="4"/>
    <n v="0"/>
    <n v="0"/>
    <b v="0"/>
    <n v="1E-3"/>
    <n v="256"/>
    <b v="1"/>
    <n v="1"/>
    <n v="3"/>
    <n v="0.1"/>
    <n v="0.1"/>
    <b v="0"/>
    <n v="32"/>
    <n v="123"/>
    <n v="1"/>
    <n v="16"/>
    <s v="./dataset/EthanolConcentration/"/>
    <s v="Monthly"/>
    <n v="10"/>
    <b v="0"/>
    <s v="classification"/>
    <s v="220dd8ba1c134475e6cad15e6803fe334b00d8e5dee3764d2c6f5be990e968f0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EthanolConcentration', model='MambaSL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220dd8ba1c134475e6cad15e6803fe334b00d8e5dee3764d2c6f5be990e968f0', device=device(type='cuda', index=0), num_class=4)"/>
    <x v="2"/>
    <s v="classification_EthanolConcentration_MambaSL_UEA_ftM_sl1751_ll48_pl0_dm128_nh8_el3_dl1_df256_expand2_dc4_fc1_ebtimeF_dtTrue_Exp_0220dd8ba1c134475e6cad15e6803fe334b00d8e5dee3764d2c6f5be990e968f0"/>
    <s v="None"/>
    <n v="1751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c1bf44879e104a329bb273b8aeb4558b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7647631843060', 'TRAIN_END': '1778917685440706630', 'TEST_START': '1778917685440785939', 'TEST_END': '1778917686810507193'}"/>
    <n v="7"/>
    <s v="[128, 128]"/>
    <n v="0"/>
    <s v="EthanolConcentration"/>
    <s v="moving_avg"/>
    <s v="220dd8ba1c134475e6cad15e6803fe334b00d8e5dee3764d2c6f5be990e968f0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EthanolConcentration_MambaSL_UEA_ftM_sl1751_ll48_pl0_dm128_nh8_el3_dl1_df256_expand2_dc4_fc1_ebtimeF_dtTrue_Exp_0220dd8ba1c134475e6cad15e6803fe334b00d8e5dee3764d2c6f5be990e968f0"/>
    <s v="run.py"/>
    <s v="sunwu"/>
    <x v="8"/>
    <x v="129"/>
  </r>
  <r>
    <s v="9e94275b8124426fa705de232ea327b8"/>
    <n v="32"/>
    <s v="FINISHED"/>
    <s v="mlflow-artifacts:/32/9e94275b8124426fa705de232ea327b8/artifacts"/>
    <s v="2026-05-16 07:47:09.409000+00:00"/>
    <s v="2026-05-16 07:47:12.387000+00:00"/>
    <n v="1.77891762859678E+18"/>
    <n v="0.92439379895172502"/>
    <n v="0.91867757889400603"/>
    <n v="0.40892853099999998"/>
    <n v="0.92439379895172502"/>
    <n v="1.7789176285967301E+18"/>
    <n v="0.91874999999999996"/>
    <n v="1.77891762936226E+18"/>
    <n v="1.7789175545384901E+18"/>
    <n v="73.175678094999995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UWaveGestureLibrary/ --model_id UWaveGestureLibrary --model MambaSL --data UEA --e_layers 3 --batch_size 32 --d_model 128 --d_ff 256 --top_k 3 --des Exp --itr 1 --learning_rate 0.001 --train_epochs 1000 --patience 10 --seed 123 --id 87beacc0bc4b09edbdae8c68f322d1b072d676394e4f930e04230b1a891fbc5d"/>
    <n v="1"/>
    <b v="0"/>
    <b v="0"/>
    <s v="M"/>
    <n v="3"/>
    <b v="0"/>
    <n v="8"/>
    <n v="0"/>
    <n v="0"/>
    <b v="0"/>
    <n v="1E-3"/>
    <n v="256"/>
    <b v="1"/>
    <n v="1"/>
    <n v="3"/>
    <n v="0.1"/>
    <n v="0.1"/>
    <b v="0"/>
    <n v="32"/>
    <n v="123"/>
    <n v="1"/>
    <n v="16"/>
    <s v="./dataset/UWaveGestureLibrary/"/>
    <s v="Monthly"/>
    <n v="10"/>
    <b v="0"/>
    <s v="classification"/>
    <s v="87beacc0bc4b09edbdae8c68f322d1b072d676394e4f930e04230b1a891fbc5d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UWaveGestureLibrary', model='MambaSL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87beacc0bc4b09edbdae8c68f322d1b072d676394e4f930e04230b1a891fbc5d', device=device(type='cuda', index=0), num_class=8)"/>
    <x v="2"/>
    <s v="classification_UWaveGestureLibrary_MambaSL_UEA_ftM_sl315_ll48_pl0_dm128_nh8_el3_dl1_df256_expand2_dc4_fc1_ebtimeF_dtTrue_Exp_087beacc0bc4b09edbdae8c68f322d1b072d676394e4f930e04230b1a891fbc5d"/>
    <s v="None"/>
    <n v="315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ec8693128dc2417d93c6204b1942c94f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7554538493181', 'TRAIN_END': '1778917628596733261', 'TEST_START': '1778917628596784535', 'TEST_END': '1778917629362263934'}"/>
    <n v="7"/>
    <s v="[128, 128]"/>
    <n v="0"/>
    <s v="UWaveGestureLibrary"/>
    <s v="moving_avg"/>
    <s v="87beacc0bc4b09edbdae8c68f322d1b072d676394e4f930e04230b1a891fbc5d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UWaveGestureLibrary_MambaSL_UEA_ftM_sl315_ll48_pl0_dm128_nh8_el3_dl1_df256_expand2_dc4_fc1_ebtimeF_dtTrue_Exp_087beacc0bc4b09edbdae8c68f322d1b072d676394e4f930e04230b1a891fbc5d"/>
    <s v="run.py"/>
    <s v="sunwu"/>
    <x v="9"/>
    <x v="130"/>
  </r>
  <r>
    <s v="936846bd21004b219fb9ab291427b2f9"/>
    <n v="32"/>
    <s v="FINISHED"/>
    <s v="mlflow-artifacts:/32/936846bd21004b219fb9ab291427b2f9/artifacts"/>
    <s v="2026-05-16 07:45:37.664000+00:00"/>
    <s v="2026-05-16 07:45:40.892000+00:00"/>
    <n v="1.7789174704864799E+18"/>
    <n v="0.65383451294468198"/>
    <n v="0.65289676133657903"/>
    <n v="0.83297448600000001"/>
    <n v="0.65383451294468198"/>
    <n v="1.7789174704864E+18"/>
    <n v="0.65323496027241701"/>
    <n v="1.7789175376162501E+18"/>
    <n v="1.7789171447842601E+18"/>
    <n v="60.766487677999997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FaceDetection/ --model_id FaceDetection --model MambaSL --data UEA --e_layers 3 --batch_size 32 --d_model 128 --d_ff 256 --top_k 3 --des Exp --itr 1 --learning_rate 0.001 --train_epochs 1000 --patience 10 --seed 42 --id e19d1b1eb08912124c95a26d740fc6fa66f286bdb9b3342eef9376011e9827bf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42"/>
    <n v="1"/>
    <n v="16"/>
    <s v="./dataset/FaceDetection/"/>
    <s v="Monthly"/>
    <n v="10"/>
    <b v="0"/>
    <s v="classification"/>
    <s v="e19d1b1eb08912124c95a26d740fc6fa66f286bdb9b3342eef9376011e9827bf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FaceDetection', model='MambaSL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e19d1b1eb08912124c95a26d740fc6fa66f286bdb9b3342eef9376011e9827bf', device=device(type='cuda', index=0), num_class=2)"/>
    <x v="2"/>
    <s v="classification_FaceDetection_MambaSL_UEA_ftM_sl62_ll48_pl0_dm128_nh8_el3_dl1_df256_expand2_dc4_fc1_ebtimeF_dtTrue_Exp_0e19d1b1eb08912124c95a26d740fc6fa66f286bdb9b3342eef9376011e9827bf"/>
    <s v="None"/>
    <n v="6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ef4d5fa98b43439d9fdf968d60ec4d88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7144784263108', 'TRAIN_END': '1778917470486408363', 'TEST_START': '1778917470486481500', 'TEST_END': '1778917537616258135'}"/>
    <n v="7"/>
    <s v="[128, 128]"/>
    <n v="0"/>
    <s v="FaceDetection"/>
    <s v="moving_avg"/>
    <s v="e19d1b1eb08912124c95a26d740fc6fa66f286bdb9b3342eef9376011e9827bf"/>
    <n v="144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FaceDetection_MambaSL_UEA_ftM_sl62_ll48_pl0_dm128_nh8_el3_dl1_df256_expand2_dc4_fc1_ebtimeF_dtTrue_Exp_0e19d1b1eb08912124c95a26d740fc6fa66f286bdb9b3342eef9376011e9827bf"/>
    <s v="run.py"/>
    <s v="sunwu"/>
    <x v="2"/>
    <x v="131"/>
  </r>
  <r>
    <s v="eaede63df5bd43a69dbeb06fa693ff4f"/>
    <n v="32"/>
    <s v="FINISHED"/>
    <s v="mlflow-artifacts:/32/eaede63df5bd43a69dbeb06fa693ff4f/artifacts"/>
    <s v="2026-05-16 07:44:14.212000+00:00"/>
    <s v="2026-05-16 07:44:17.981000+00:00"/>
    <n v="1.7789174488121001E+18"/>
    <n v="0.99065161455615502"/>
    <n v="0.99046094049046796"/>
    <n v="0.71763892299999998"/>
    <n v="0.99065161455615502"/>
    <n v="1.77891744881198E+18"/>
    <n v="0.990450204638472"/>
    <n v="1.7789174541607501E+18"/>
    <n v="1.7789173349906199E+18"/>
    <n v="92.368523913000004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pokenArabicDigits/ --model_id SpokenArabicDigits --model MambaSL --data UEA --e_layers 3 --batch_size 32 --d_model 128 --d_ff 256 --top_k 3 --des Exp --itr 1 --learning_rate 0.001 --train_epochs 1000 --patience 10 --seed 42 --id b91697dad3116f49b9d649c622186fce332b1cab7ce3c42c5050f5ea1104eca2"/>
    <n v="1"/>
    <b v="0"/>
    <b v="0"/>
    <s v="M"/>
    <n v="3"/>
    <b v="0"/>
    <n v="10"/>
    <n v="0"/>
    <n v="0"/>
    <b v="0"/>
    <n v="1E-3"/>
    <n v="256"/>
    <b v="1"/>
    <n v="1"/>
    <n v="3"/>
    <n v="0.1"/>
    <n v="0.1"/>
    <b v="0"/>
    <n v="32"/>
    <n v="42"/>
    <n v="1"/>
    <n v="16"/>
    <s v="./dataset/SpokenArabicDigits/"/>
    <s v="Monthly"/>
    <n v="10"/>
    <b v="0"/>
    <s v="classification"/>
    <s v="b91697dad3116f49b9d649c622186fce332b1cab7ce3c42c5050f5ea1104eca2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pokenArabicDigits', model='MambaSL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b91697dad3116f49b9d649c622186fce332b1cab7ce3c42c5050f5ea1104eca2', device=device(type='cuda', index=0), num_class=10)"/>
    <x v="2"/>
    <s v="classification_SpokenArabicDigits_MambaSL_UEA_ftM_sl93_ll48_pl0_dm128_nh8_el3_dl1_df256_expand2_dc4_fc1_ebtimeF_dtTrue_Exp_0b91697dad3116f49b9d649c622186fce332b1cab7ce3c42c5050f5ea1104eca2"/>
    <s v="None"/>
    <n v="93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370003274d84099b761b50857424d12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7334990621417', 'TRAIN_END': '1778917448811984444', 'TEST_START': '1778917448812101553', 'TEST_END': '1778917454160758284'}"/>
    <n v="7"/>
    <s v="[128, 128]"/>
    <n v="0"/>
    <s v="SpokenArabicDigits"/>
    <s v="moving_avg"/>
    <s v="b91697dad3116f49b9d649c622186fce332b1cab7ce3c42c5050f5ea1104eca2"/>
    <n v="1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pokenArabicDigits_MambaSL_UEA_ftM_sl93_ll48_pl0_dm128_nh8_el3_dl1_df256_expand2_dc4_fc1_ebtimeF_dtTrue_Exp_0b91697dad3116f49b9d649c622186fce332b1cab7ce3c42c5050f5ea1104eca2"/>
    <s v="run.py"/>
    <s v="sunwu"/>
    <x v="1"/>
    <x v="132"/>
  </r>
  <r>
    <s v="58262c45fa7a41c4bc9c721c8335c439"/>
    <n v="32"/>
    <s v="FINISHED"/>
    <s v="mlflow-artifacts:/32/58262c45fa7a41c4bc9c721c8335c439/artifacts"/>
    <s v="2026-05-16 07:41:37.109000+00:00"/>
    <s v="2026-05-16 07:41:40.071000+00:00"/>
    <n v="1.77891729585681E+18"/>
    <n v="0.55566551212271098"/>
    <n v="0.55533596837944599"/>
    <n v="0.63716906200000001"/>
    <n v="0.55566551212271098"/>
    <n v="1.7789172958567199E+18"/>
    <n v="0.55555555555555503"/>
    <n v="1.7789172970403799E+18"/>
    <n v="1.7789172554943601E+18"/>
    <n v="38.60774308799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2/ --model_id SelfRegulationSCP2 --model MambaSL --data UEA --e_layers 3 --batch_size 32 --d_model 128 --d_ff 256 --top_k 3 --des Exp --itr 1 --learning_rate 0.001 --train_epochs 1000 --patience 10 --seed 42 --id ed664326753e0da203a40228fbdc820ed79589f70aba8a5404ee1c013ffa0021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42"/>
    <n v="1"/>
    <n v="16"/>
    <s v="./dataset/SelfRegulationSCP2/"/>
    <s v="Monthly"/>
    <n v="10"/>
    <b v="0"/>
    <s v="classification"/>
    <s v="ed664326753e0da203a40228fbdc820ed79589f70aba8a5404ee1c013ffa0021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2', model='MambaSL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ed664326753e0da203a40228fbdc820ed79589f70aba8a5404ee1c013ffa0021', device=device(type='cuda', index=0), num_class=2)"/>
    <x v="2"/>
    <s v="classification_SelfRegulationSCP2_MambaSL_UEA_ftM_sl1152_ll48_pl0_dm128_nh8_el3_dl1_df256_expand2_dc4_fc1_ebtimeF_dtTrue_Exp_0ed664326753e0da203a40228fbdc820ed79589f70aba8a5404ee1c013ffa0021"/>
    <s v="None"/>
    <n v="115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f3b1f2dea476426b96f560e7ee1777d6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7255494360320', 'TRAIN_END': '1778917295856721778', 'TEST_START': '1778917295856816494', 'TEST_END': '1778917297040384440'}"/>
    <n v="7"/>
    <s v="[128, 128]"/>
    <n v="0"/>
    <s v="SelfRegulationSCP2"/>
    <s v="moving_avg"/>
    <s v="ed664326753e0da203a40228fbdc820ed79589f70aba8a5404ee1c013ffa0021"/>
    <n v="7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2_MambaSL_UEA_ftM_sl1152_ll48_pl0_dm128_nh8_el3_dl1_df256_expand2_dc4_fc1_ebtimeF_dtTrue_Exp_0ed664326753e0da203a40228fbdc820ed79589f70aba8a5404ee1c013ffa0021"/>
    <s v="run.py"/>
    <s v="sunwu"/>
    <x v="3"/>
    <x v="133"/>
  </r>
  <r>
    <s v="f7a648cb8bf5418789a4cd878b045f3c"/>
    <n v="32"/>
    <s v="FINISHED"/>
    <s v="mlflow-artifacts:/32/f7a648cb8bf5418789a4cd878b045f3c/artifacts"/>
    <s v="2026-05-16 07:40:36.739000+00:00"/>
    <s v="2026-05-16 07:40:39.693000+00:00"/>
    <n v="1.7789172355973299E+18"/>
    <n v="0.89833992865282697"/>
    <n v="0.893901286702937"/>
    <n v="0.39934460300000002"/>
    <n v="0.89833992865282697"/>
    <n v="1.77891723559725E+18"/>
    <n v="0.89419795221843001"/>
    <n v="1.7789172366937001E+18"/>
    <n v="1.7789171826186701E+18"/>
    <n v="50.922547111999997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1/ --model_id SelfRegulationSCP1 --model MambaSL --data UEA --e_layers 3 --batch_size 32 --d_model 128 --d_ff 256 --top_k 3 --des Exp --itr 1 --learning_rate 0.001 --train_epochs 1000 --patience 10 --seed 42 --id ffaa02e335ddaf7fe9f98bd55efff4974d7653e7521e9355a9a30f443ada44bb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42"/>
    <n v="1"/>
    <n v="16"/>
    <s v="./dataset/SelfRegulationSCP1/"/>
    <s v="Monthly"/>
    <n v="10"/>
    <b v="0"/>
    <s v="classification"/>
    <s v="ffaa02e335ddaf7fe9f98bd55efff4974d7653e7521e9355a9a30f443ada44bb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1', model='MambaSL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ffaa02e335ddaf7fe9f98bd55efff4974d7653e7521e9355a9a30f443ada44bb', device=device(type='cuda', index=0), num_class=2)"/>
    <x v="2"/>
    <s v="classification_SelfRegulationSCP1_MambaSL_UEA_ftM_sl896_ll48_pl0_dm128_nh8_el3_dl1_df256_expand2_dc4_fc1_ebtimeF_dtTrue_Exp_0ffaa02e335ddaf7fe9f98bd55efff4974d7653e7521e9355a9a30f443ada44bb"/>
    <s v="None"/>
    <n v="896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0663c1f0c9084d238b92f747d10ff17f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7182618678399', 'TRAIN_END': '1778917235597257846', 'TEST_START': '1778917235597337430', 'TEST_END': '1778917236693706663'}"/>
    <n v="7"/>
    <s v="[128, 128]"/>
    <n v="0"/>
    <s v="SelfRegulationSCP1"/>
    <s v="moving_avg"/>
    <s v="ffaa02e335ddaf7fe9f98bd55efff4974d7653e7521e9355a9a30f443ada44bb"/>
    <n v="6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1_MambaSL_UEA_ftM_sl896_ll48_pl0_dm128_nh8_el3_dl1_df256_expand2_dc4_fc1_ebtimeF_dtTrue_Exp_0ffaa02e335ddaf7fe9f98bd55efff4974d7653e7521e9355a9a30f443ada44bb"/>
    <s v="run.py"/>
    <s v="sunwu"/>
    <x v="4"/>
    <x v="134"/>
  </r>
  <r>
    <s v="2e18d64a2b5b44d5920dffb339c2313d"/>
    <n v="32"/>
    <s v="FINISHED"/>
    <s v="mlflow-artifacts:/32/2e18d64a2b5b44d5920dffb339c2313d/artifacts"/>
    <s v="2026-05-16 07:39:24.792000+00:00"/>
    <s v="2026-05-16 07:39:27.936000+00:00"/>
    <n v="1.77891716343345E+18"/>
    <n v="0.97411791800511305"/>
    <n v="0.97308617650747098"/>
    <n v="0.46404842699999999"/>
    <n v="0.97411791800511305"/>
    <n v="1.7789171634333599E+18"/>
    <n v="0.97297297297297303"/>
    <n v="1.7789171647398999E+18"/>
    <n v="1.77891708792914E+18"/>
    <n v="73.71347378800000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JapaneseVowels/ --model_id JapaneseVowels --model MambaSL --data UEA --e_layers 3 --batch_size 32 --d_model 128 --d_ff 256 --top_k 3 --des Exp --itr 1 --learning_rate 0.001 --train_epochs 1000 --patience 10 --seed 42 --id 8426b404ec44f5cbf5513b06950f87dd56e6703e5afc606252bafd9077a29ebe"/>
    <n v="1"/>
    <b v="0"/>
    <b v="0"/>
    <s v="M"/>
    <n v="3"/>
    <b v="0"/>
    <n v="9"/>
    <n v="0"/>
    <n v="0"/>
    <b v="0"/>
    <n v="1E-3"/>
    <n v="256"/>
    <b v="1"/>
    <n v="1"/>
    <n v="3"/>
    <n v="0.1"/>
    <n v="0.1"/>
    <b v="0"/>
    <n v="32"/>
    <n v="42"/>
    <n v="1"/>
    <n v="16"/>
    <s v="./dataset/JapaneseVowels/"/>
    <s v="Monthly"/>
    <n v="10"/>
    <b v="0"/>
    <s v="classification"/>
    <s v="8426b404ec44f5cbf5513b06950f87dd56e6703e5afc606252bafd9077a29ebe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JapaneseVowels', model='MambaSL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8426b404ec44f5cbf5513b06950f87dd56e6703e5afc606252bafd9077a29ebe', device=device(type='cuda', index=0), num_class=9)"/>
    <x v="2"/>
    <s v="classification_JapaneseVowels_MambaSL_UEA_ftM_sl29_ll48_pl0_dm128_nh8_el3_dl1_df256_expand2_dc4_fc1_ebtimeF_dtTrue_Exp_08426b404ec44f5cbf5513b06950f87dd56e6703e5afc606252bafd9077a29ebe"/>
    <s v="None"/>
    <n v="29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00dcb632e92447cfb0bc0e4790beba55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7087929148197', 'TRAIN_END': '1778917163433368678', 'TEST_START': '1778917163433458799', 'TEST_END': '1778917164739906085'}"/>
    <n v="7"/>
    <s v="[128, 128]"/>
    <n v="0"/>
    <s v="JapaneseVowels"/>
    <s v="moving_avg"/>
    <s v="8426b404ec44f5cbf5513b06950f87dd56e6703e5afc606252bafd9077a29ebe"/>
    <n v="12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JapaneseVowels_MambaSL_UEA_ftM_sl29_ll48_pl0_dm128_nh8_el3_dl1_df256_expand2_dc4_fc1_ebtimeF_dtTrue_Exp_08426b404ec44f5cbf5513b06950f87dd56e6703e5afc606252bafd9077a29ebe"/>
    <s v="run.py"/>
    <s v="sunwu"/>
    <x v="5"/>
    <x v="135"/>
  </r>
  <r>
    <s v="92ea58a78d9a44d0bd51360f4b4ed4fc"/>
    <n v="32"/>
    <s v="FINISHED"/>
    <s v="mlflow-artifacts:/32/92ea58a78d9a44d0bd51360f4b4ed4fc/artifacts"/>
    <s v="2026-05-16 07:37:52.020000+00:00"/>
    <s v="2026-05-16 07:37:55.036000+00:00"/>
    <n v="1.7789170687728799E+18"/>
    <n v="0.76951394897458003"/>
    <n v="0.77010321940172999"/>
    <n v="0.40555066499999998"/>
    <n v="0.76951394897458003"/>
    <n v="1.77891706877281E+18"/>
    <n v="0.77073170731707297"/>
    <n v="1.77891707197344E+18"/>
    <n v="1.7789170251438799E+18"/>
    <n v="35.270069538999998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eartbeat/ --model_id Heartbeat --model MambaSL --data UEA --e_layers 3 --batch_size 32 --d_model 128 --d_ff 256 --top_k 3 --des Exp --itr 1 --learning_rate 0.001 --train_epochs 1000 --patience 10 --seed 42 --id 6557177c8ea44e04bbf6373ba3fbd835385228a3033c3187b12396f70ca19f33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42"/>
    <n v="1"/>
    <n v="16"/>
    <s v="./dataset/Heartbeat/"/>
    <s v="Monthly"/>
    <n v="10"/>
    <b v="0"/>
    <s v="classification"/>
    <s v="6557177c8ea44e04bbf6373ba3fbd835385228a3033c3187b12396f70ca19f33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eartbeat', model='MambaSL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6557177c8ea44e04bbf6373ba3fbd835385228a3033c3187b12396f70ca19f33', device=device(type='cuda', index=0), num_class=2)"/>
    <x v="2"/>
    <s v="classification_Heartbeat_MambaSL_UEA_ftM_sl405_ll48_pl0_dm128_nh8_el3_dl1_df256_expand2_dc4_fc1_ebtimeF_dtTrue_Exp_06557177c8ea44e04bbf6373ba3fbd835385228a3033c3187b12396f70ca19f33"/>
    <s v="None"/>
    <n v="405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12f2a55572a483f87608fc53dfb70a8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7025143884705', 'TRAIN_END': '1778917068772815269', 'TEST_START': '1778917068772887451', 'TEST_END': '1778917071973443249'}"/>
    <n v="7"/>
    <s v="[128, 128]"/>
    <n v="0"/>
    <s v="Heartbeat"/>
    <s v="moving_avg"/>
    <s v="6557177c8ea44e04bbf6373ba3fbd835385228a3033c3187b12396f70ca19f33"/>
    <n v="61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eartbeat_MambaSL_UEA_ftM_sl405_ll48_pl0_dm128_nh8_el3_dl1_df256_expand2_dc4_fc1_ebtimeF_dtTrue_Exp_06557177c8ea44e04bbf6373ba3fbd835385228a3033c3187b12396f70ca19f33"/>
    <s v="run.py"/>
    <s v="sunwu"/>
    <x v="6"/>
    <x v="136"/>
  </r>
  <r>
    <s v="ea719ddd1adb4339b658b53334308b5d"/>
    <n v="32"/>
    <s v="FINISHED"/>
    <s v="mlflow-artifacts:/32/ea719ddd1adb4339b658b53334308b5d/artifacts"/>
    <s v="2026-05-16 07:36:35.610000+00:00"/>
    <s v="2026-05-16 07:36:38.804000+00:00"/>
    <n v="1.7789169942528799E+18"/>
    <n v="0.52965193143763101"/>
    <n v="0.48722982105065998"/>
    <n v="0.46074963600000002"/>
    <n v="0.52965193143763101"/>
    <n v="1.77891699425281E+18"/>
    <n v="0.50941176470588201"/>
    <n v="1.7789169955658099E+18"/>
    <n v="1.77891689259887E+18"/>
    <n v="100.067210116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andwriting/ --model_id Handwriting --model MambaSL --data UEA --e_layers 3 --batch_size 32 --d_model 128 --d_ff 256 --top_k 3 --des Exp --itr 1 --learning_rate 0.001 --train_epochs 1000 --patience 10 --seed 42 --id b700b2eb3194c114fb78dc6b047ca34fb5d6503819b7249bae6c12648b029d22"/>
    <n v="1"/>
    <b v="0"/>
    <b v="0"/>
    <s v="M"/>
    <n v="3"/>
    <b v="0"/>
    <n v="26"/>
    <n v="0"/>
    <n v="0"/>
    <b v="0"/>
    <n v="1E-3"/>
    <n v="256"/>
    <b v="1"/>
    <n v="1"/>
    <n v="3"/>
    <n v="0.1"/>
    <n v="0.1"/>
    <b v="0"/>
    <n v="32"/>
    <n v="42"/>
    <n v="1"/>
    <n v="16"/>
    <s v="./dataset/Handwriting/"/>
    <s v="Monthly"/>
    <n v="10"/>
    <b v="0"/>
    <s v="classification"/>
    <s v="b700b2eb3194c114fb78dc6b047ca34fb5d6503819b7249bae6c12648b029d22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andwriting', model='MambaSL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b700b2eb3194c114fb78dc6b047ca34fb5d6503819b7249bae6c12648b029d22', device=device(type='cuda', index=0), num_class=26)"/>
    <x v="2"/>
    <s v="classification_Handwriting_MambaSL_UEA_ftM_sl152_ll48_pl0_dm128_nh8_el3_dl1_df256_expand2_dc4_fc1_ebtimeF_dtTrue_Exp_0b700b2eb3194c114fb78dc6b047ca34fb5d6503819b7249bae6c12648b029d22"/>
    <s v="None"/>
    <n v="15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dcc52f2663f845febe1200cd52ef9509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6892598870317', 'TRAIN_END': '1778916994252812223', 'TEST_START': '1778916994252882152', 'TEST_END': '1778916995565817534'}"/>
    <n v="7"/>
    <s v="[128, 128]"/>
    <n v="0"/>
    <s v="Handwriting"/>
    <s v="moving_avg"/>
    <s v="b700b2eb3194c114fb78dc6b047ca34fb5d6503819b7249bae6c12648b029d22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andwriting_MambaSL_UEA_ftM_sl152_ll48_pl0_dm128_nh8_el3_dl1_df256_expand2_dc4_fc1_ebtimeF_dtTrue_Exp_0b700b2eb3194c114fb78dc6b047ca34fb5d6503819b7249bae6c12648b029d22"/>
    <s v="run.py"/>
    <s v="sunwu"/>
    <x v="7"/>
    <x v="137"/>
  </r>
  <r>
    <s v="57a3f594409746148e8d6dd405bf4456"/>
    <n v="32"/>
    <s v="FINISHED"/>
    <s v="mlflow-artifacts:/32/57a3f594409746148e8d6dd405bf4456/artifacts"/>
    <s v="2026-05-16 07:34:36.379000+00:00"/>
    <s v="2026-05-16 07:34:40.054000+00:00"/>
    <n v="1.7789168748647501E+18"/>
    <n v="0.32879410904461198"/>
    <n v="0.26218414593059602"/>
    <n v="0.89881905799999995"/>
    <n v="0.32879410904461198"/>
    <n v="1.77891687486465E+18"/>
    <n v="0.288973384030418"/>
    <n v="1.7789168763299999E+18"/>
    <n v="1.7789168254356401E+18"/>
    <n v="47.57442345500000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EthanolConcentration/ --model_id EthanolConcentration --model MambaSL --data UEA --e_layers 3 --batch_size 32 --d_model 128 --d_ff 256 --top_k 3 --des Exp --itr 1 --learning_rate 0.001 --train_epochs 1000 --patience 10 --seed 42 --id 4bf22e47115dfa1b03a56d79ac97b68bdbe084c5e5b9926f013cd0c25a90bda6"/>
    <n v="1"/>
    <b v="0"/>
    <b v="0"/>
    <s v="M"/>
    <n v="3"/>
    <b v="0"/>
    <n v="4"/>
    <n v="0"/>
    <n v="0"/>
    <b v="0"/>
    <n v="1E-3"/>
    <n v="256"/>
    <b v="1"/>
    <n v="1"/>
    <n v="3"/>
    <n v="0.1"/>
    <n v="0.1"/>
    <b v="0"/>
    <n v="32"/>
    <n v="42"/>
    <n v="1"/>
    <n v="16"/>
    <s v="./dataset/EthanolConcentration/"/>
    <s v="Monthly"/>
    <n v="10"/>
    <b v="0"/>
    <s v="classification"/>
    <s v="4bf22e47115dfa1b03a56d79ac97b68bdbe084c5e5b9926f013cd0c25a90bda6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EthanolConcentration', model='MambaSL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4bf22e47115dfa1b03a56d79ac97b68bdbe084c5e5b9926f013cd0c25a90bda6', device=device(type='cuda', index=0), num_class=4)"/>
    <x v="2"/>
    <s v="classification_EthanolConcentration_MambaSL_UEA_ftM_sl1751_ll48_pl0_dm128_nh8_el3_dl1_df256_expand2_dc4_fc1_ebtimeF_dtTrue_Exp_04bf22e47115dfa1b03a56d79ac97b68bdbe084c5e5b9926f013cd0c25a90bda6"/>
    <s v="None"/>
    <n v="1751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992e32b9c412498982f2f9a43937e0b3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6825435646341', 'TRAIN_END': '1778916874864653618', 'TEST_START': '1778916874864754251', 'TEST_END': '1778916876330009019'}"/>
    <n v="7"/>
    <s v="[128, 128]"/>
    <n v="0"/>
    <s v="EthanolConcentration"/>
    <s v="moving_avg"/>
    <s v="4bf22e47115dfa1b03a56d79ac97b68bdbe084c5e5b9926f013cd0c25a90bda6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EthanolConcentration_MambaSL_UEA_ftM_sl1751_ll48_pl0_dm128_nh8_el3_dl1_df256_expand2_dc4_fc1_ebtimeF_dtTrue_Exp_04bf22e47115dfa1b03a56d79ac97b68bdbe084c5e5b9926f013cd0c25a90bda6"/>
    <s v="run.py"/>
    <s v="sunwu"/>
    <x v="8"/>
    <x v="138"/>
  </r>
  <r>
    <s v="8051dcd2f711462dabaa7824a6901f12"/>
    <n v="32"/>
    <s v="FINISHED"/>
    <s v="mlflow-artifacts:/32/8051dcd2f711462dabaa7824a6901f12/artifacts"/>
    <s v="2026-05-16 07:33:40.466000+00:00"/>
    <s v="2026-05-16 07:33:43.608000+00:00"/>
    <n v="1.77891679229037E+18"/>
    <n v="0.76896257243078003"/>
    <n v="0.75493412410822303"/>
    <n v="0.51696087499999999"/>
    <n v="0.76896257243078003"/>
    <n v="1.7789167922902999E+18"/>
    <n v="0.75722543352601102"/>
    <n v="1.7789168204221299E+18"/>
    <n v="1.7789166529516401E+18"/>
    <n v="46.196077913000003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PEMS-SF/ --model_id PEMS-SF --model MambaSL --data UEA --e_layers 3 --batch_size 32 --d_model 128 --d_ff 256 --top_k 3 --des Exp --itr 1 --learning_rate 0.001 --train_epochs 1000 --patience 10 --seed 7 --id cef6546eda7b7381acbd061fb5b0ff813f50350966afdccf4418df62ce854173"/>
    <n v="1"/>
    <b v="0"/>
    <b v="0"/>
    <s v="M"/>
    <n v="3"/>
    <b v="0"/>
    <n v="7"/>
    <n v="0"/>
    <n v="0"/>
    <b v="0"/>
    <n v="1E-3"/>
    <n v="256"/>
    <b v="1"/>
    <n v="1"/>
    <n v="3"/>
    <n v="0.1"/>
    <n v="0.1"/>
    <b v="0"/>
    <n v="32"/>
    <n v="7"/>
    <n v="1"/>
    <n v="16"/>
    <s v="./dataset/PEMS-SF/"/>
    <s v="Monthly"/>
    <n v="10"/>
    <b v="0"/>
    <s v="classification"/>
    <s v="cef6546eda7b7381acbd061fb5b0ff813f50350966afdccf4418df62ce854173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PEMS-SF', model='MambaSL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cef6546eda7b7381acbd061fb5b0ff813f50350966afdccf4418df62ce854173', device=device(type='cuda', index=0), num_class=7)"/>
    <x v="2"/>
    <s v="classification_PEMS-SF_MambaSL_UEA_ftM_sl144_ll48_pl0_dm128_nh8_el3_dl1_df256_expand2_dc4_fc1_ebtimeF_dtTrue_Exp_0cef6546eda7b7381acbd061fb5b0ff813f50350966afdccf4418df62ce854173"/>
    <s v="None"/>
    <n v="144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9248796b613d4ce385cd4dfffc4e41fe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6652951649252', 'TRAIN_END': '1778916792290301774', 'TEST_START': '1778916792290371042', 'TEST_END': '1778916820422138376'}"/>
    <n v="7"/>
    <s v="[128, 128]"/>
    <n v="0"/>
    <s v="PEMS-SF"/>
    <s v="moving_avg"/>
    <s v="cef6546eda7b7381acbd061fb5b0ff813f50350966afdccf4418df62ce854173"/>
    <n v="96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PEMS-SF_MambaSL_UEA_ftM_sl144_ll48_pl0_dm128_nh8_el3_dl1_df256_expand2_dc4_fc1_ebtimeF_dtTrue_Exp_0cef6546eda7b7381acbd061fb5b0ff813f50350966afdccf4418df62ce854173"/>
    <s v="run.py"/>
    <s v="sunwu"/>
    <x v="0"/>
    <x v="139"/>
  </r>
  <r>
    <s v="6278febdd1ad42e8a3b10f1eb9f23f89"/>
    <n v="32"/>
    <s v="FINISHED"/>
    <s v="mlflow-artifacts:/32/6278febdd1ad42e8a3b10f1eb9f23f89/artifacts"/>
    <s v="2026-05-16 07:33:28.186000+00:00"/>
    <s v="2026-05-16 07:33:31.191000+00:00"/>
    <n v="1.77891680740322E+18"/>
    <n v="0.91665966009317701"/>
    <n v="0.91200975344947399"/>
    <n v="0.41217682700000002"/>
    <n v="0.91665966009317701"/>
    <n v="1.7789168074031601E+18"/>
    <n v="0.91249999999999998"/>
    <n v="1.7789168081383301E+18"/>
    <n v="1.77891672156799E+18"/>
    <n v="84.8695241140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UWaveGestureLibrary/ --model_id UWaveGestureLibrary --model MambaSL --data UEA --e_layers 3 --batch_size 32 --d_model 128 --d_ff 256 --top_k 3 --des Exp --itr 1 --learning_rate 0.001 --train_epochs 1000 --patience 10 --seed 42 --id 3f4d97d021eff78c0038059db3a6ae804880c76b3a55e3284b0f3d7dbf1ba41e"/>
    <n v="1"/>
    <b v="0"/>
    <b v="0"/>
    <s v="M"/>
    <n v="3"/>
    <b v="0"/>
    <n v="8"/>
    <n v="0"/>
    <n v="0"/>
    <b v="0"/>
    <n v="1E-3"/>
    <n v="256"/>
    <b v="1"/>
    <n v="1"/>
    <n v="3"/>
    <n v="0.1"/>
    <n v="0.1"/>
    <b v="0"/>
    <n v="32"/>
    <n v="42"/>
    <n v="1"/>
    <n v="16"/>
    <s v="./dataset/UWaveGestureLibrary/"/>
    <s v="Monthly"/>
    <n v="10"/>
    <b v="0"/>
    <s v="classification"/>
    <s v="3f4d97d021eff78c0038059db3a6ae804880c76b3a55e3284b0f3d7dbf1ba41e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UWaveGestureLibrary', model='MambaSL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3f4d97d021eff78c0038059db3a6ae804880c76b3a55e3284b0f3d7dbf1ba41e', device=device(type='cuda', index=0), num_class=8)"/>
    <x v="2"/>
    <s v="classification_UWaveGestureLibrary_MambaSL_UEA_ftM_sl315_ll48_pl0_dm128_nh8_el3_dl1_df256_expand2_dc4_fc1_ebtimeF_dtTrue_Exp_03f4d97d021eff78c0038059db3a6ae804880c76b3a55e3284b0f3d7dbf1ba41e"/>
    <s v="None"/>
    <n v="315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d9ccbf95f66b430982833708181a43c7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6721567996975', 'TRAIN_END': '1778916807403165768', 'TEST_START': '1778916807403222627', 'TEST_END': '1778916808138337635'}"/>
    <n v="7"/>
    <s v="[128, 128]"/>
    <n v="0"/>
    <s v="UWaveGestureLibrary"/>
    <s v="moving_avg"/>
    <s v="3f4d97d021eff78c0038059db3a6ae804880c76b3a55e3284b0f3d7dbf1ba41e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UWaveGestureLibrary_MambaSL_UEA_ftM_sl315_ll48_pl0_dm128_nh8_el3_dl1_df256_expand2_dc4_fc1_ebtimeF_dtTrue_Exp_03f4d97d021eff78c0038059db3a6ae804880c76b3a55e3284b0f3d7dbf1ba41e"/>
    <s v="run.py"/>
    <s v="sunwu"/>
    <x v="9"/>
    <x v="140"/>
  </r>
  <r>
    <s v="e328fc30f70d4baaae7da843cc63640e"/>
    <n v="32"/>
    <s v="FINISHED"/>
    <s v="mlflow-artifacts:/32/e328fc30f70d4baaae7da843cc63640e/artifacts"/>
    <s v="2026-05-16 07:31:06.201000+00:00"/>
    <s v="2026-05-16 07:31:10.597000+00:00"/>
    <n v="1.77891659859504E+18"/>
    <n v="0.65706787410253298"/>
    <n v="0.65508672229620901"/>
    <n v="0.81201134500000005"/>
    <n v="0.65706787410253298"/>
    <n v="1.7789165985949801E+18"/>
    <n v="0.65578887627695803"/>
    <n v="1.7789166661560699E+18"/>
    <n v="1.77891629176033E+18"/>
    <n v="57.4096469690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FaceDetection/ --model_id FaceDetection --model MambaSL --data UEA --e_layers 3 --batch_size 32 --d_model 128 --d_ff 256 --top_k 3 --des Exp --itr 1 --learning_rate 0.001 --train_epochs 1000 --patience 10 --seed 7 --id 88c78419076cc6419bcd504e9dd47ea5db32b9201b1b20dd59d9083bc6a107e4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7"/>
    <n v="1"/>
    <n v="16"/>
    <s v="./dataset/FaceDetection/"/>
    <s v="Monthly"/>
    <n v="10"/>
    <b v="0"/>
    <s v="classification"/>
    <s v="88c78419076cc6419bcd504e9dd47ea5db32b9201b1b20dd59d9083bc6a107e4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FaceDetection', model='MambaSL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88c78419076cc6419bcd504e9dd47ea5db32b9201b1b20dd59d9083bc6a107e4', device=device(type='cuda', index=0), num_class=2)"/>
    <x v="2"/>
    <s v="classification_FaceDetection_MambaSL_UEA_ftM_sl62_ll48_pl0_dm128_nh8_el3_dl1_df256_expand2_dc4_fc1_ebtimeF_dtTrue_Exp_088c78419076cc6419bcd504e9dd47ea5db32b9201b1b20dd59d9083bc6a107e4"/>
    <s v="None"/>
    <n v="6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d3eb108bbae94bd2abbe8941370744e5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6291760333877', 'TRAIN_END': '1778916598594983703', 'TEST_START': '1778916598595049736', 'TEST_END': '1778916666156077133'}"/>
    <n v="7"/>
    <s v="[128, 128]"/>
    <n v="0"/>
    <s v="FaceDetection"/>
    <s v="moving_avg"/>
    <s v="88c78419076cc6419bcd504e9dd47ea5db32b9201b1b20dd59d9083bc6a107e4"/>
    <n v="144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FaceDetection_MambaSL_UEA_ftM_sl62_ll48_pl0_dm128_nh8_el3_dl1_df256_expand2_dc4_fc1_ebtimeF_dtTrue_Exp_088c78419076cc6419bcd504e9dd47ea5db32b9201b1b20dd59d9083bc6a107e4"/>
    <s v="run.py"/>
    <s v="sunwu"/>
    <x v="2"/>
    <x v="141"/>
  </r>
  <r>
    <s v="520b5ae6ff8945ba816fd4b60f12d6ef"/>
    <n v="32"/>
    <s v="FINISHED"/>
    <s v="mlflow-artifacts:/32/520b5ae6ff8945ba816fd4b60f12d6ef/artifacts"/>
    <s v="2026-05-16 07:28:22.257000+00:00"/>
    <s v="2026-05-16 07:28:26.421000+00:00"/>
    <n v="1.77891649707855E+18"/>
    <n v="0.99375110909736797"/>
    <n v="0.993646321261203"/>
    <n v="0.60086413500000002"/>
    <n v="0.99375110909736797"/>
    <n v="1.7789164970784499E+18"/>
    <n v="0.99363346975898104"/>
    <n v="1.77891650220622E+18"/>
    <n v="1.7789163447133199E+18"/>
    <n v="130.7074990449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pokenArabicDigits/ --model_id SpokenArabicDigits --model MambaSL --data UEA --e_layers 3 --batch_size 32 --d_model 128 --d_ff 256 --top_k 3 --des Exp --itr 1 --learning_rate 0.001 --train_epochs 1000 --patience 10 --seed 7 --id 0b1fc9dee0352c5abdacf3940da8395ebf37608f6605c26cc19f10a740005136"/>
    <n v="1"/>
    <b v="0"/>
    <b v="0"/>
    <s v="M"/>
    <n v="3"/>
    <b v="0"/>
    <n v="10"/>
    <n v="0"/>
    <n v="0"/>
    <b v="0"/>
    <n v="1E-3"/>
    <n v="256"/>
    <b v="1"/>
    <n v="1"/>
    <n v="3"/>
    <n v="0.1"/>
    <n v="0.1"/>
    <b v="0"/>
    <n v="32"/>
    <n v="7"/>
    <n v="1"/>
    <n v="16"/>
    <s v="./dataset/SpokenArabicDigits/"/>
    <s v="Monthly"/>
    <n v="10"/>
    <b v="0"/>
    <s v="classification"/>
    <s v="0b1fc9dee0352c5abdacf3940da8395ebf37608f6605c26cc19f10a740005136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pokenArabicDigits', model='MambaSL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0b1fc9dee0352c5abdacf3940da8395ebf37608f6605c26cc19f10a740005136', device=device(type='cuda', index=0), num_class=10)"/>
    <x v="2"/>
    <s v="classification_SpokenArabicDigits_MambaSL_UEA_ftM_sl93_ll48_pl0_dm128_nh8_el3_dl1_df256_expand2_dc4_fc1_ebtimeF_dtTrue_Exp_00b1fc9dee0352c5abdacf3940da8395ebf37608f6605c26cc19f10a740005136"/>
    <s v="None"/>
    <n v="93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5d3ade37ef164e35acfb65389c9f07ee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6344713324212', 'TRAIN_END': '1778916497078458016', 'TEST_START': '1778916497078553461', 'TEST_END': '1778916502206229349'}"/>
    <n v="7"/>
    <s v="[128, 128]"/>
    <n v="0"/>
    <s v="SpokenArabicDigits"/>
    <s v="moving_avg"/>
    <s v="0b1fc9dee0352c5abdacf3940da8395ebf37608f6605c26cc19f10a740005136"/>
    <n v="1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pokenArabicDigits_MambaSL_UEA_ftM_sl93_ll48_pl0_dm128_nh8_el3_dl1_df256_expand2_dc4_fc1_ebtimeF_dtTrue_Exp_00b1fc9dee0352c5abdacf3940da8395ebf37608f6605c26cc19f10a740005136"/>
    <s v="run.py"/>
    <s v="sunwu"/>
    <x v="1"/>
    <x v="142"/>
  </r>
  <r>
    <s v="aa3a11d99d72470db11fde024df407b0"/>
    <n v="32"/>
    <s v="FINISHED"/>
    <s v="mlflow-artifacts:/32/aa3a11d99d72470db11fde024df407b0/artifacts"/>
    <s v="2026-05-16 07:25:07.056000+00:00"/>
    <s v="2026-05-16 07:25:10.056000+00:00"/>
    <n v="1.7789163058638899E+18"/>
    <n v="0.57012987012987004"/>
    <n v="0.56124999999999903"/>
    <n v="0.57723317799999996"/>
    <n v="0.57012987012987004"/>
    <n v="1.77891630586382E+18"/>
    <n v="0.56666666666666599"/>
    <n v="1.77891630700942E+18"/>
    <n v="1.77891626168339E+18"/>
    <n v="42.4593277620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2/ --model_id SelfRegulationSCP2 --model MambaSL --data UEA --e_layers 3 --batch_size 32 --d_model 128 --d_ff 256 --top_k 3 --des Exp --itr 1 --learning_rate 0.001 --train_epochs 1000 --patience 10 --seed 7 --id 53ec68f8f58b9e549ceb8e85d9705faf4718a2ef8fafdb8ee1b836e6da74a64d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7"/>
    <n v="1"/>
    <n v="16"/>
    <s v="./dataset/SelfRegulationSCP2/"/>
    <s v="Monthly"/>
    <n v="10"/>
    <b v="0"/>
    <s v="classification"/>
    <s v="53ec68f8f58b9e549ceb8e85d9705faf4718a2ef8fafdb8ee1b836e6da74a64d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2', model='MambaSL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53ec68f8f58b9e549ceb8e85d9705faf4718a2ef8fafdb8ee1b836e6da74a64d', device=device(type='cuda', index=0), num_class=2)"/>
    <x v="2"/>
    <s v="classification_SelfRegulationSCP2_MambaSL_UEA_ftM_sl1152_ll48_pl0_dm128_nh8_el3_dl1_df256_expand2_dc4_fc1_ebtimeF_dtTrue_Exp_053ec68f8f58b9e549ceb8e85d9705faf4718a2ef8fafdb8ee1b836e6da74a64d"/>
    <s v="None"/>
    <n v="115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0743bbafbbda42968aced422ecd4dbac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6261683390950', 'TRAIN_END': '1778916305863820948', 'TEST_START': '1778916305863897625', 'TEST_END': '1778916307009426241'}"/>
    <n v="7"/>
    <s v="[128, 128]"/>
    <n v="0"/>
    <s v="SelfRegulationSCP2"/>
    <s v="moving_avg"/>
    <s v="53ec68f8f58b9e549ceb8e85d9705faf4718a2ef8fafdb8ee1b836e6da74a64d"/>
    <n v="7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2_MambaSL_UEA_ftM_sl1152_ll48_pl0_dm128_nh8_el3_dl1_df256_expand2_dc4_fc1_ebtimeF_dtTrue_Exp_053ec68f8f58b9e549ceb8e85d9705faf4718a2ef8fafdb8ee1b836e6da74a64d"/>
    <s v="run.py"/>
    <s v="sunwu"/>
    <x v="3"/>
    <x v="143"/>
  </r>
  <r>
    <s v="c3ec88edd0074d2994f0a1c78fd207ce"/>
    <n v="32"/>
    <s v="FINISHED"/>
    <s v="mlflow-artifacts:/32/c3ec88edd0074d2994f0a1c78fd207ce/artifacts"/>
    <s v="2026-05-16 07:24:03.700000+00:00"/>
    <s v="2026-05-16 07:24:06.688000+00:00"/>
    <n v="1.7789162425859E+18"/>
    <n v="0.88164292835663605"/>
    <n v="0.87674250510988005"/>
    <n v="0.37360410399999999"/>
    <n v="0.88164292835663605"/>
    <n v="1.7789162425858199E+18"/>
    <n v="0.87713310580204695"/>
    <n v="1.7789162436536801E+18"/>
    <n v="1.7789162269922601E+18"/>
    <n v="13.58194765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1/ --model_id SelfRegulationSCP1 --model MambaSL --data UEA --e_layers 3 --batch_size 32 --d_model 128 --d_ff 256 --top_k 3 --des Exp --itr 1 --learning_rate 0.001 --train_epochs 1000 --patience 10 --seed 7 --id 25f6e8685768520a3516e7871968c32e04103d95dc83806d9817023e73ae8bf0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7"/>
    <n v="1"/>
    <n v="16"/>
    <s v="./dataset/SelfRegulationSCP1/"/>
    <s v="Monthly"/>
    <n v="10"/>
    <b v="0"/>
    <s v="classification"/>
    <s v="25f6e8685768520a3516e7871968c32e04103d95dc83806d9817023e73ae8bf0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1', model='MambaSL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25f6e8685768520a3516e7871968c32e04103d95dc83806d9817023e73ae8bf0', device=device(type='cuda', index=0), num_class=2)"/>
    <x v="2"/>
    <s v="classification_SelfRegulationSCP1_MambaSL_UEA_ftM_sl896_ll48_pl0_dm128_nh8_el3_dl1_df256_expand2_dc4_fc1_ebtimeF_dtTrue_Exp_025f6e8685768520a3516e7871968c32e04103d95dc83806d9817023e73ae8bf0"/>
    <s v="None"/>
    <n v="896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d14c372fe2d1450ea7a239551d7d5a01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6226992260729', 'TRAIN_END': '1778916242585822263', 'TEST_START': '1778916242585901698', 'TEST_END': '1778916243653689200'}"/>
    <n v="7"/>
    <s v="[128, 128]"/>
    <n v="0"/>
    <s v="SelfRegulationSCP1"/>
    <s v="moving_avg"/>
    <s v="25f6e8685768520a3516e7871968c32e04103d95dc83806d9817023e73ae8bf0"/>
    <n v="6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1_MambaSL_UEA_ftM_sl896_ll48_pl0_dm128_nh8_el3_dl1_df256_expand2_dc4_fc1_ebtimeF_dtTrue_Exp_025f6e8685768520a3516e7871968c32e04103d95dc83806d9817023e73ae8bf0"/>
    <s v="run.py"/>
    <s v="sunwu"/>
    <x v="4"/>
    <x v="144"/>
  </r>
  <r>
    <s v="be662a8b3ccb4d69b1b376d36ee219bf"/>
    <n v="32"/>
    <s v="FINISHED"/>
    <s v="mlflow-artifacts:/32/be662a8b3ccb4d69b1b376d36ee219bf/artifacts"/>
    <s v="2026-05-16 07:23:27.939000+00:00"/>
    <s v="2026-05-16 07:23:32.009000+00:00"/>
    <n v="1.7789162066328499E+18"/>
    <n v="0.97865891626920998"/>
    <n v="0.97841627348660998"/>
    <n v="0.37274566199999998"/>
    <n v="0.97865891626920998"/>
    <n v="1.77891620663279E+18"/>
    <n v="0.97837837837837804"/>
    <n v="1.77891620789281E+18"/>
    <n v="1.7789161705705999E+18"/>
    <n v="34.2319089100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JapaneseVowels/ --model_id JapaneseVowels --model MambaSL --data UEA --e_layers 3 --batch_size 32 --d_model 128 --d_ff 256 --top_k 3 --des Exp --itr 1 --learning_rate 0.001 --train_epochs 1000 --patience 10 --seed 7 --id d0a57b815e4fa149843f71cfa502a04c5017c86e495912e96bbd609159413ce0"/>
    <n v="1"/>
    <b v="0"/>
    <b v="0"/>
    <s v="M"/>
    <n v="3"/>
    <b v="0"/>
    <n v="9"/>
    <n v="0"/>
    <n v="0"/>
    <b v="0"/>
    <n v="1E-3"/>
    <n v="256"/>
    <b v="1"/>
    <n v="1"/>
    <n v="3"/>
    <n v="0.1"/>
    <n v="0.1"/>
    <b v="0"/>
    <n v="32"/>
    <n v="7"/>
    <n v="1"/>
    <n v="16"/>
    <s v="./dataset/JapaneseVowels/"/>
    <s v="Monthly"/>
    <n v="10"/>
    <b v="0"/>
    <s v="classification"/>
    <s v="d0a57b815e4fa149843f71cfa502a04c5017c86e495912e96bbd609159413ce0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JapaneseVowels', model='MambaSL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d0a57b815e4fa149843f71cfa502a04c5017c86e495912e96bbd609159413ce0', device=device(type='cuda', index=0), num_class=9)"/>
    <x v="2"/>
    <s v="classification_JapaneseVowels_MambaSL_UEA_ftM_sl29_ll48_pl0_dm128_nh8_el3_dl1_df256_expand2_dc4_fc1_ebtimeF_dtTrue_Exp_0d0a57b815e4fa149843f71cfa502a04c5017c86e495912e96bbd609159413ce0"/>
    <s v="None"/>
    <n v="29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c75e8f73a8d148dc835d38fe67681bf3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6170570607444', 'TRAIN_END': '1778916206632791917', 'TEST_START': '1778916206632854367', 'TEST_END': '1778916207892813654'}"/>
    <n v="7"/>
    <s v="[128, 128]"/>
    <n v="0"/>
    <s v="JapaneseVowels"/>
    <s v="moving_avg"/>
    <s v="d0a57b815e4fa149843f71cfa502a04c5017c86e495912e96bbd609159413ce0"/>
    <n v="12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JapaneseVowels_MambaSL_UEA_ftM_sl29_ll48_pl0_dm128_nh8_el3_dl1_df256_expand2_dc4_fc1_ebtimeF_dtTrue_Exp_0d0a57b815e4fa149843f71cfa502a04c5017c86e495912e96bbd609159413ce0"/>
    <s v="run.py"/>
    <s v="sunwu"/>
    <x v="5"/>
    <x v="145"/>
  </r>
  <r>
    <s v="6ff8d8faedbd4d6da7e85ac7f168cd3f"/>
    <n v="32"/>
    <s v="FINISHED"/>
    <s v="mlflow-artifacts:/32/6ff8d8faedbd4d6da7e85ac7f168cd3f/artifacts"/>
    <s v="2026-05-16 07:22:34.138000+00:00"/>
    <s v="2026-05-16 07:22:37.123000+00:00"/>
    <n v="1.7789161509237901E+18"/>
    <n v="0.77010677818016804"/>
    <n v="0.772698908798644"/>
    <n v="0.388705837"/>
    <n v="0.77010677818016804"/>
    <n v="1.7789161509237199E+18"/>
    <n v="0.78048780487804803"/>
    <n v="1.7789161540911099E+18"/>
    <n v="1.7789161024504901E+18"/>
    <n v="40.09067870300000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eartbeat/ --model_id Heartbeat --model MambaSL --data UEA --e_layers 3 --batch_size 32 --d_model 128 --d_ff 256 --top_k 3 --des Exp --itr 1 --learning_rate 0.001 --train_epochs 1000 --patience 10 --seed 7 --id ce803b3b13399c6cde091454a29825553a7eac90f81e642628d06d4da2027e80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7"/>
    <n v="1"/>
    <n v="16"/>
    <s v="./dataset/Heartbeat/"/>
    <s v="Monthly"/>
    <n v="10"/>
    <b v="0"/>
    <s v="classification"/>
    <s v="ce803b3b13399c6cde091454a29825553a7eac90f81e642628d06d4da2027e80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eartbeat', model='MambaSL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ce803b3b13399c6cde091454a29825553a7eac90f81e642628d06d4da2027e80', device=device(type='cuda', index=0), num_class=2)"/>
    <x v="2"/>
    <s v="classification_Heartbeat_MambaSL_UEA_ftM_sl405_ll48_pl0_dm128_nh8_el3_dl1_df256_expand2_dc4_fc1_ebtimeF_dtTrue_Exp_0ce803b3b13399c6cde091454a29825553a7eac90f81e642628d06d4da2027e80"/>
    <s v="None"/>
    <n v="405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0beff597fead4cf5b3ddef9cd5a9f786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6102450493232', 'TRAIN_END': '1778916150923724168', 'TEST_START': '1778916150923792088', 'TEST_END': '1778916154091116566'}"/>
    <n v="7"/>
    <s v="[128, 128]"/>
    <n v="0"/>
    <s v="Heartbeat"/>
    <s v="moving_avg"/>
    <s v="ce803b3b13399c6cde091454a29825553a7eac90f81e642628d06d4da2027e80"/>
    <n v="61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eartbeat_MambaSL_UEA_ftM_sl405_ll48_pl0_dm128_nh8_el3_dl1_df256_expand2_dc4_fc1_ebtimeF_dtTrue_Exp_0ce803b3b13399c6cde091454a29825553a7eac90f81e642628d06d4da2027e80"/>
    <s v="run.py"/>
    <s v="sunwu"/>
    <x v="6"/>
    <x v="146"/>
  </r>
  <r>
    <s v="2069e19059674078afbab75475eb5f67"/>
    <n v="32"/>
    <s v="FINISHED"/>
    <s v="mlflow-artifacts:/32/2069e19059674078afbab75475eb5f67/artifacts"/>
    <s v="2026-05-16 07:21:11.313000+00:00"/>
    <s v="2026-05-16 07:21:14.269000+00:00"/>
    <n v="1.7789160699597299E+18"/>
    <n v="5.6233726400832802E-2"/>
    <n v="5.5035120308641598E-2"/>
    <n v="0.448325853"/>
    <n v="5.6233726400832802E-2"/>
    <n v="1.77891606995966E+18"/>
    <n v="0.110588235294117"/>
    <n v="1.7789160712674701E+18"/>
    <n v="1.7789160496508401E+18"/>
    <n v="18.690469468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andwriting/ --model_id Handwriting --model MambaSL --data UEA --e_layers 3 --batch_size 32 --d_model 128 --d_ff 256 --top_k 3 --des Exp --itr 1 --learning_rate 0.001 --train_epochs 1000 --patience 10 --seed 7 --id 14e30e830b45ca0044919afff97b4591128fd16045dccfaae10c94d8e4ed5f97"/>
    <n v="1"/>
    <b v="0"/>
    <b v="0"/>
    <s v="M"/>
    <n v="3"/>
    <b v="0"/>
    <n v="26"/>
    <n v="0"/>
    <n v="0"/>
    <b v="0"/>
    <n v="1E-3"/>
    <n v="256"/>
    <b v="1"/>
    <n v="1"/>
    <n v="3"/>
    <n v="0.1"/>
    <n v="0.1"/>
    <b v="0"/>
    <n v="32"/>
    <n v="7"/>
    <n v="1"/>
    <n v="16"/>
    <s v="./dataset/Handwriting/"/>
    <s v="Monthly"/>
    <n v="10"/>
    <b v="0"/>
    <s v="classification"/>
    <s v="14e30e830b45ca0044919afff97b4591128fd16045dccfaae10c94d8e4ed5f97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andwriting', model='MambaSL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14e30e830b45ca0044919afff97b4591128fd16045dccfaae10c94d8e4ed5f97', device=device(type='cuda', index=0), num_class=26)"/>
    <x v="2"/>
    <s v="classification_Handwriting_MambaSL_UEA_ftM_sl152_ll48_pl0_dm128_nh8_el3_dl1_df256_expand2_dc4_fc1_ebtimeF_dtTrue_Exp_014e30e830b45ca0044919afff97b4591128fd16045dccfaae10c94d8e4ed5f97"/>
    <s v="None"/>
    <n v="15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a791a80d4caf456e92bfe4d063a74081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6049650846410', 'TRAIN_END': '1778916069959665978', 'TEST_START': '1778916069959738666', 'TEST_END': '1778916071267472050'}"/>
    <n v="7"/>
    <s v="[128, 128]"/>
    <n v="0"/>
    <s v="Handwriting"/>
    <s v="moving_avg"/>
    <s v="14e30e830b45ca0044919afff97b4591128fd16045dccfaae10c94d8e4ed5f97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andwriting_MambaSL_UEA_ftM_sl152_ll48_pl0_dm128_nh8_el3_dl1_df256_expand2_dc4_fc1_ebtimeF_dtTrue_Exp_014e30e830b45ca0044919afff97b4591128fd16045dccfaae10c94d8e4ed5f97"/>
    <s v="run.py"/>
    <s v="sunwu"/>
    <x v="7"/>
    <x v="147"/>
  </r>
  <r>
    <s v="a9118c38cbf6444cb121e52c5db05a35"/>
    <n v="32"/>
    <s v="FINISHED"/>
    <s v="mlflow-artifacts:/32/a9118c38cbf6444cb121e52c5db05a35/artifacts"/>
    <s v="2026-05-16 07:20:34.663000+00:00"/>
    <s v="2026-05-16 07:20:37.809000+00:00"/>
    <n v="1.77891603391681E+18"/>
    <n v="0.92001496984992304"/>
    <n v="0.91529944323955403"/>
    <n v="0.39917616299999997"/>
    <n v="0.92001496984992304"/>
    <n v="1.7789160339167301E+18"/>
    <n v="0.91562500000000002"/>
    <n v="1.7789160346152699E+18"/>
    <n v="1.7789159188802701E+18"/>
    <n v="114.014448568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UWaveGestureLibrary/ --model_id UWaveGestureLibrary --model MambaSL --data UEA --e_layers 3 --batch_size 32 --d_model 128 --d_ff 256 --top_k 3 --des Exp --itr 1 --learning_rate 0.001 --train_epochs 1000 --patience 10 --seed 7 --id a2ad7a0d6049286450ce5491fd3d25e20c23a64b91c0b26e9adfcabed94f7f36"/>
    <n v="1"/>
    <b v="0"/>
    <b v="0"/>
    <s v="M"/>
    <n v="3"/>
    <b v="0"/>
    <n v="8"/>
    <n v="0"/>
    <n v="0"/>
    <b v="0"/>
    <n v="1E-3"/>
    <n v="256"/>
    <b v="1"/>
    <n v="1"/>
    <n v="3"/>
    <n v="0.1"/>
    <n v="0.1"/>
    <b v="0"/>
    <n v="32"/>
    <n v="7"/>
    <n v="1"/>
    <n v="16"/>
    <s v="./dataset/UWaveGestureLibrary/"/>
    <s v="Monthly"/>
    <n v="10"/>
    <b v="0"/>
    <s v="classification"/>
    <s v="a2ad7a0d6049286450ce5491fd3d25e20c23a64b91c0b26e9adfcabed94f7f36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UWaveGestureLibrary', model='MambaSL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a2ad7a0d6049286450ce5491fd3d25e20c23a64b91c0b26e9adfcabed94f7f36', device=device(type='cuda', index=0), num_class=8)"/>
    <x v="2"/>
    <s v="classification_UWaveGestureLibrary_MambaSL_UEA_ftM_sl315_ll48_pl0_dm128_nh8_el3_dl1_df256_expand2_dc4_fc1_ebtimeF_dtTrue_Exp_0a2ad7a0d6049286450ce5491fd3d25e20c23a64b91c0b26e9adfcabed94f7f36"/>
    <s v="None"/>
    <n v="315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a3896c19f2c547fd9b65fc99c5d853e3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5918880279133', 'TRAIN_END': '1778916033916733506', 'TEST_START': '1778916033916817177', 'TEST_END': '1778916034615273344'}"/>
    <n v="7"/>
    <s v="[128, 128]"/>
    <n v="0"/>
    <s v="UWaveGestureLibrary"/>
    <s v="moving_avg"/>
    <s v="a2ad7a0d6049286450ce5491fd3d25e20c23a64b91c0b26e9adfcabed94f7f36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UWaveGestureLibrary_MambaSL_UEA_ftM_sl315_ll48_pl0_dm128_nh8_el3_dl1_df256_expand2_dc4_fc1_ebtimeF_dtTrue_Exp_0a2ad7a0d6049286450ce5491fd3d25e20c23a64b91c0b26e9adfcabed94f7f36"/>
    <s v="run.py"/>
    <s v="sunwu"/>
    <x v="9"/>
    <x v="148"/>
  </r>
  <r>
    <s v="d22e08207e824c63b50892029706a0a2"/>
    <n v="32"/>
    <s v="FINISHED"/>
    <s v="mlflow-artifacts:/32/d22e08207e824c63b50892029706a0a2/artifacts"/>
    <s v="2026-05-16 07:19:38.692000+00:00"/>
    <s v="2026-05-16 07:19:41.733000+00:00"/>
    <n v="1.77891597713522E+18"/>
    <n v="0.29852249249092799"/>
    <n v="0.24796692736138301"/>
    <n v="0.91558768499999998"/>
    <n v="0.29852249249092799"/>
    <n v="1.7789159771351401E+18"/>
    <n v="0.288973384030418"/>
    <n v="1.7789159786442501E+18"/>
    <n v="1.77891591918445E+18"/>
    <n v="56.2234445220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EthanolConcentration/ --model_id EthanolConcentration --model MambaSL --data UEA --e_layers 3 --batch_size 32 --d_model 128 --d_ff 256 --top_k 3 --des Exp --itr 1 --learning_rate 0.001 --train_epochs 1000 --patience 10 --seed 7 --id 6e55bc4e04f92039ae06b8728f20f71c41ea795d8ee464e097e26b1bc7bbcda0"/>
    <n v="1"/>
    <b v="0"/>
    <b v="0"/>
    <s v="M"/>
    <n v="3"/>
    <b v="0"/>
    <n v="4"/>
    <n v="0"/>
    <n v="0"/>
    <b v="0"/>
    <n v="1E-3"/>
    <n v="256"/>
    <b v="1"/>
    <n v="1"/>
    <n v="3"/>
    <n v="0.1"/>
    <n v="0.1"/>
    <b v="0"/>
    <n v="32"/>
    <n v="7"/>
    <n v="1"/>
    <n v="16"/>
    <s v="./dataset/EthanolConcentration/"/>
    <s v="Monthly"/>
    <n v="10"/>
    <b v="0"/>
    <s v="classification"/>
    <s v="6e55bc4e04f92039ae06b8728f20f71c41ea795d8ee464e097e26b1bc7bbcda0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EthanolConcentration', model='MambaSL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6e55bc4e04f92039ae06b8728f20f71c41ea795d8ee464e097e26b1bc7bbcda0', device=device(type='cuda', index=0), num_class=4)"/>
    <x v="2"/>
    <s v="classification_EthanolConcentration_MambaSL_UEA_ftM_sl1751_ll48_pl0_dm128_nh8_el3_dl1_df256_expand2_dc4_fc1_ebtimeF_dtTrue_Exp_06e55bc4e04f92039ae06b8728f20f71c41ea795d8ee464e097e26b1bc7bbcda0"/>
    <s v="None"/>
    <n v="1751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e3af12cc7a2548f684a8054543f200df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5919184451550', 'TRAIN_END': '1778915977135141903', 'TEST_START': '1778915977135220231', 'TEST_END': '1778915978644254849'}"/>
    <n v="7"/>
    <s v="[128, 128]"/>
    <n v="0"/>
    <s v="EthanolConcentration"/>
    <s v="moving_avg"/>
    <s v="6e55bc4e04f92039ae06b8728f20f71c41ea795d8ee464e097e26b1bc7bbcda0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EthanolConcentration_MambaSL_UEA_ftM_sl1751_ll48_pl0_dm128_nh8_el3_dl1_df256_expand2_dc4_fc1_ebtimeF_dtTrue_Exp_06e55bc4e04f92039ae06b8728f20f71c41ea795d8ee464e097e26b1bc7bbcda0"/>
    <s v="run.py"/>
    <s v="sunwu"/>
    <x v="8"/>
    <x v="1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7" cacheId="0" autoFormatId="1" applyNumberFormats="0" applyBorderFormats="0" applyFontFormats="0" applyPatternFormats="0" applyAlignmentFormats="0" applyWidthHeightFormats="1" dataCaption="值" updatedVersion="7" minRefreshableVersion="3" createdVersion="7" useAutoFormatting="1" rowGrandTotals="0" colGrandTotals="0" indent="0" outline="1" outlineData="1" showDrill="1" multipleFieldFilters="0">
  <location ref="A3:K7" firstHeaderRow="1" firstDataRow="2" firstDataCol="1"/>
  <pivotFields count="124"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numFmtId="11" showAll="0"/>
    <pivotField defaultSubtotal="0" showAll="0"/>
    <pivotField defaultSubtotal="0" showAll="0"/>
    <pivotField defaultSubtotal="0" showAll="0"/>
    <pivotField defaultSubtotal="0" showAll="0"/>
    <pivotField defaultSubtotal="0" numFmtId="11" showAll="0"/>
    <pivotField defaultSubtotal="0" showAll="0"/>
    <pivotField defaultSubtotal="0" numFmtId="11" showAll="0"/>
    <pivotField defaultSubtotal="0" numFmtId="11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axis="axisRow" defaultSubtotal="0" showAll="0">
      <items count="3">
        <item x="2"/>
        <item x="0"/>
        <item x="1"/>
      </items>
    </pivotField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axis="axisCol" defaultSubtotal="0" showAll="0">
      <items count="10">
        <item x="8"/>
        <item x="2"/>
        <item x="6"/>
        <item x="7"/>
        <item x="5"/>
        <item x="0"/>
        <item x="1"/>
        <item x="4"/>
        <item x="3"/>
        <item x="9"/>
      </items>
    </pivotField>
    <pivotField dataField="1" numFmtId="176" showAll="0">
      <items count="151">
        <item x="120"/>
        <item x="110"/>
        <item x="148"/>
        <item x="140"/>
        <item x="130"/>
        <item x="10"/>
        <item x="30"/>
        <item x="40"/>
        <item x="144"/>
        <item x="25"/>
        <item x="35"/>
        <item x="114"/>
        <item x="124"/>
        <item x="134"/>
        <item x="5"/>
        <item x="20"/>
        <item x="143"/>
        <item x="104"/>
        <item x="45"/>
        <item x="125"/>
        <item x="133"/>
        <item x="113"/>
        <item x="47"/>
        <item x="115"/>
        <item x="44"/>
        <item x="105"/>
        <item x="17"/>
        <item x="15"/>
        <item x="145"/>
        <item x="4"/>
        <item x="7"/>
        <item x="34"/>
        <item x="24"/>
        <item x="27"/>
        <item x="102"/>
        <item x="123"/>
        <item x="135"/>
        <item x="147"/>
        <item x="137"/>
        <item x="127"/>
        <item x="107"/>
        <item x="117"/>
        <item x="109"/>
        <item x="129"/>
        <item x="14"/>
        <item x="43"/>
        <item x="37"/>
        <item x="138"/>
        <item x="48"/>
        <item x="23"/>
        <item x="3"/>
        <item x="13"/>
        <item x="33"/>
        <item x="149"/>
        <item x="19"/>
        <item x="119"/>
        <item x="9"/>
        <item x="39"/>
        <item x="29"/>
        <item x="49"/>
        <item x="93"/>
        <item x="82"/>
        <item x="52"/>
        <item x="75"/>
        <item x="146"/>
        <item x="126"/>
        <item x="136"/>
        <item x="106"/>
        <item x="116"/>
        <item x="80"/>
        <item x="99"/>
        <item x="90"/>
        <item x="6"/>
        <item x="46"/>
        <item x="36"/>
        <item x="26"/>
        <item x="16"/>
        <item x="60"/>
        <item x="112"/>
        <item x="101"/>
        <item x="121"/>
        <item x="142"/>
        <item x="132"/>
        <item x="96"/>
        <item x="86"/>
        <item x="66"/>
        <item x="11"/>
        <item x="1"/>
        <item x="21"/>
        <item x="73"/>
        <item x="69"/>
        <item x="42"/>
        <item x="32"/>
        <item x="72"/>
        <item x="87"/>
        <item x="57"/>
        <item x="67"/>
        <item x="53"/>
        <item x="78"/>
        <item x="98"/>
        <item x="88"/>
        <item x="58"/>
        <item x="68"/>
        <item x="65"/>
        <item x="92"/>
        <item x="63"/>
        <item x="94"/>
        <item x="55"/>
        <item x="85"/>
        <item x="84"/>
        <item x="61"/>
        <item x="91"/>
        <item x="51"/>
        <item x="81"/>
        <item x="64"/>
        <item x="71"/>
        <item x="97"/>
        <item x="77"/>
        <item x="118"/>
        <item x="100"/>
        <item x="128"/>
        <item x="108"/>
        <item x="50"/>
        <item x="139"/>
        <item x="38"/>
        <item x="28"/>
        <item x="18"/>
        <item x="0"/>
        <item x="8"/>
        <item x="76"/>
        <item x="56"/>
        <item x="89"/>
        <item x="79"/>
        <item x="59"/>
        <item x="122"/>
        <item x="131"/>
        <item x="141"/>
        <item x="111"/>
        <item x="103"/>
        <item x="70"/>
        <item x="12"/>
        <item x="31"/>
        <item x="22"/>
        <item x="2"/>
        <item x="41"/>
        <item x="83"/>
        <item x="95"/>
        <item x="74"/>
        <item x="54"/>
        <item x="62"/>
        <item t="default"/>
      </items>
    </pivotField>
  </pivotFields>
  <rowFields count="1">
    <field x="78"/>
  </rowFields>
  <rowItems count="3">
    <i>
      <x/>
    </i>
    <i>
      <x v="1"/>
    </i>
    <i>
      <x v="2"/>
    </i>
  </rowItems>
  <colFields count="1">
    <field x="122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colItems>
  <dataFields count="1">
    <dataField name="平均值项:eval_time" fld="123" subtotal="average" baseField="0" baseItem="0" numFmtId="177"/>
  </dataFields>
  <formats count="2">
    <format dxfId="0">
      <pivotArea outline="0" collapsedLevelsAreSubtotals="1" fieldPosition="0"/>
    </format>
    <format dxfId="1">
      <pivotArea dataOnly="0" labelOnly="1" fieldPosition="0">
        <references count="1">
          <reference field="78" count="0"/>
        </references>
      </pivotArea>
    </format>
  </formats>
  <pivotTableStyleInfo name="PivotStylePreset2_Accent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K7"/>
  <sheetViews>
    <sheetView zoomScale="150" zoomScaleNormal="150" workbookViewId="0">
      <selection activeCell="K7" sqref="A4:K7"/>
    </sheetView>
  </sheetViews>
  <sheetFormatPr defaultColWidth="11" defaultRowHeight="16.8" outlineLevelRow="6"/>
  <cols>
    <col min="1" max="1" width="19.1634615384615" customWidth="1"/>
    <col min="2" max="2" width="10.3365384615385" customWidth="1"/>
    <col min="3" max="3" width="10" customWidth="1"/>
    <col min="4" max="5" width="11" customWidth="1"/>
    <col min="6" max="6" width="10" customWidth="1"/>
    <col min="7" max="9" width="11" customWidth="1"/>
    <col min="10" max="12" width="10" customWidth="1"/>
  </cols>
  <sheetData>
    <row r="3" spans="1:11">
      <c r="A3" t="s">
        <v>0</v>
      </c>
      <c r="B3" t="s">
        <v>1</v>
      </c>
    </row>
    <row r="4" spans="1:11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</row>
    <row r="5" spans="1:11">
      <c r="A5" s="9" t="s">
        <v>13</v>
      </c>
      <c r="B5" s="10">
        <v>1.4606799872</v>
      </c>
      <c r="C5" s="10">
        <v>67.5265460224</v>
      </c>
      <c r="D5" s="10">
        <v>3.2614459904</v>
      </c>
      <c r="E5" s="10">
        <v>1.3406880768</v>
      </c>
      <c r="F5" s="10">
        <v>1.2475940352</v>
      </c>
      <c r="G5" s="10">
        <v>27.571945984</v>
      </c>
      <c r="H5" s="10">
        <v>5.0188079616</v>
      </c>
      <c r="I5" s="10">
        <v>1.0979380224</v>
      </c>
      <c r="J5" s="10">
        <v>1.2238600192</v>
      </c>
      <c r="K5" s="10">
        <v>0.701740032</v>
      </c>
    </row>
    <row r="6" spans="1:11">
      <c r="A6" s="9" t="s">
        <v>14</v>
      </c>
      <c r="B6" s="10">
        <v>1.75336192</v>
      </c>
      <c r="C6" s="10">
        <v>81.232083968</v>
      </c>
      <c r="D6" s="10">
        <v>3.9574480384</v>
      </c>
      <c r="E6" s="10">
        <v>1.2981899776</v>
      </c>
      <c r="F6" s="10">
        <v>1.1373779456</v>
      </c>
      <c r="G6" s="10">
        <v>33.5722500096</v>
      </c>
      <c r="H6" s="10">
        <v>6.117942016</v>
      </c>
      <c r="I6" s="10">
        <v>1.2963919872</v>
      </c>
      <c r="J6" s="10">
        <v>1.4748739584</v>
      </c>
      <c r="K6" s="10">
        <v>1.2807980544</v>
      </c>
    </row>
    <row r="7" spans="1:11">
      <c r="A7" s="9" t="s">
        <v>15</v>
      </c>
      <c r="B7" s="10">
        <v>8.62241408</v>
      </c>
      <c r="C7" s="10">
        <v>276.2716319744</v>
      </c>
      <c r="D7" s="10">
        <v>18.0206980096</v>
      </c>
      <c r="E7" s="10">
        <v>14.0256159232</v>
      </c>
      <c r="F7" s="10">
        <v>8.9756940288</v>
      </c>
      <c r="G7" s="10">
        <v>47.0958680064</v>
      </c>
      <c r="H7" s="10">
        <v>17.0732360192</v>
      </c>
      <c r="I7" s="10">
        <v>11.9122500096</v>
      </c>
      <c r="J7" s="10">
        <v>6.7793880064</v>
      </c>
      <c r="K7" s="10">
        <v>4.4124360704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T151"/>
  <sheetViews>
    <sheetView tabSelected="1" zoomScale="91" zoomScaleNormal="91" topLeftCell="BK1" workbookViewId="0">
      <selection activeCell="BX8" sqref="BX8"/>
    </sheetView>
  </sheetViews>
  <sheetFormatPr defaultColWidth="9.16346153846154" defaultRowHeight="16.8"/>
  <cols>
    <col min="120" max="120" width="22" customWidth="1"/>
    <col min="124" max="124" width="10" customWidth="1"/>
  </cols>
  <sheetData>
    <row r="1" ht="17.6" spans="1:124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  <c r="S1" s="5" t="s">
        <v>34</v>
      </c>
      <c r="T1" s="5" t="s">
        <v>35</v>
      </c>
      <c r="U1" s="5" t="s">
        <v>36</v>
      </c>
      <c r="V1" s="5" t="s">
        <v>37</v>
      </c>
      <c r="W1" s="5" t="s">
        <v>38</v>
      </c>
      <c r="X1" s="5" t="s">
        <v>39</v>
      </c>
      <c r="Y1" s="5" t="s">
        <v>40</v>
      </c>
      <c r="Z1" s="5" t="s">
        <v>41</v>
      </c>
      <c r="AA1" s="5" t="s">
        <v>42</v>
      </c>
      <c r="AB1" s="5" t="s">
        <v>43</v>
      </c>
      <c r="AC1" s="5" t="s">
        <v>44</v>
      </c>
      <c r="AD1" s="5" t="s">
        <v>45</v>
      </c>
      <c r="AE1" s="5" t="s">
        <v>46</v>
      </c>
      <c r="AF1" s="5" t="s">
        <v>47</v>
      </c>
      <c r="AG1" s="5" t="s">
        <v>48</v>
      </c>
      <c r="AH1" s="5" t="s">
        <v>49</v>
      </c>
      <c r="AI1" s="5" t="s">
        <v>50</v>
      </c>
      <c r="AJ1" s="5" t="s">
        <v>51</v>
      </c>
      <c r="AK1" s="5" t="s">
        <v>52</v>
      </c>
      <c r="AL1" s="5" t="s">
        <v>53</v>
      </c>
      <c r="AM1" s="5" t="s">
        <v>54</v>
      </c>
      <c r="AN1" s="5" t="s">
        <v>55</v>
      </c>
      <c r="AO1" s="5" t="s">
        <v>56</v>
      </c>
      <c r="AP1" s="5" t="s">
        <v>57</v>
      </c>
      <c r="AQ1" s="5" t="s">
        <v>58</v>
      </c>
      <c r="AR1" s="5" t="s">
        <v>59</v>
      </c>
      <c r="AS1" s="5" t="s">
        <v>60</v>
      </c>
      <c r="AT1" s="5" t="s">
        <v>61</v>
      </c>
      <c r="AU1" s="5" t="s">
        <v>62</v>
      </c>
      <c r="AV1" s="5" t="s">
        <v>63</v>
      </c>
      <c r="AW1" s="5" t="s">
        <v>64</v>
      </c>
      <c r="AX1" s="5" t="s">
        <v>65</v>
      </c>
      <c r="AY1" s="5" t="s">
        <v>66</v>
      </c>
      <c r="AZ1" s="5" t="s">
        <v>67</v>
      </c>
      <c r="BA1" s="5" t="s">
        <v>68</v>
      </c>
      <c r="BB1" s="5" t="s">
        <v>69</v>
      </c>
      <c r="BC1" s="5" t="s">
        <v>70</v>
      </c>
      <c r="BD1" s="5" t="s">
        <v>71</v>
      </c>
      <c r="BE1" s="5" t="s">
        <v>72</v>
      </c>
      <c r="BF1" s="5" t="s">
        <v>73</v>
      </c>
      <c r="BG1" s="5" t="s">
        <v>74</v>
      </c>
      <c r="BH1" s="5" t="s">
        <v>75</v>
      </c>
      <c r="BI1" s="5" t="s">
        <v>76</v>
      </c>
      <c r="BJ1" s="5" t="s">
        <v>77</v>
      </c>
      <c r="BK1" s="5" t="s">
        <v>78</v>
      </c>
      <c r="BL1" s="5" t="s">
        <v>79</v>
      </c>
      <c r="BM1" s="5" t="s">
        <v>80</v>
      </c>
      <c r="BN1" s="5" t="s">
        <v>81</v>
      </c>
      <c r="BO1" s="5" t="s">
        <v>82</v>
      </c>
      <c r="BP1" s="5" t="s">
        <v>83</v>
      </c>
      <c r="BQ1" s="5" t="s">
        <v>84</v>
      </c>
      <c r="BR1" s="5" t="s">
        <v>85</v>
      </c>
      <c r="BS1" s="5" t="s">
        <v>86</v>
      </c>
      <c r="BT1" s="5" t="s">
        <v>87</v>
      </c>
      <c r="BU1" s="5" t="s">
        <v>88</v>
      </c>
      <c r="BV1" s="5" t="s">
        <v>89</v>
      </c>
      <c r="BW1" s="5" t="s">
        <v>90</v>
      </c>
      <c r="BX1" s="5" t="s">
        <v>91</v>
      </c>
      <c r="BY1" s="5" t="s">
        <v>92</v>
      </c>
      <c r="BZ1" s="5" t="s">
        <v>93</v>
      </c>
      <c r="CA1" s="5" t="s">
        <v>94</v>
      </c>
      <c r="CB1" s="5" t="s">
        <v>95</v>
      </c>
      <c r="CC1" s="5" t="s">
        <v>96</v>
      </c>
      <c r="CD1" s="5" t="s">
        <v>97</v>
      </c>
      <c r="CE1" s="5" t="s">
        <v>98</v>
      </c>
      <c r="CF1" s="5" t="s">
        <v>99</v>
      </c>
      <c r="CG1" s="5" t="s">
        <v>100</v>
      </c>
      <c r="CH1" s="5" t="s">
        <v>101</v>
      </c>
      <c r="CI1" s="5" t="s">
        <v>102</v>
      </c>
      <c r="CJ1" s="5" t="s">
        <v>103</v>
      </c>
      <c r="CK1" s="5" t="s">
        <v>104</v>
      </c>
      <c r="CL1" s="5" t="s">
        <v>105</v>
      </c>
      <c r="CM1" s="5" t="s">
        <v>106</v>
      </c>
      <c r="CN1" s="5" t="s">
        <v>107</v>
      </c>
      <c r="CO1" s="5" t="s">
        <v>108</v>
      </c>
      <c r="CP1" s="5" t="s">
        <v>109</v>
      </c>
      <c r="CQ1" s="5" t="s">
        <v>110</v>
      </c>
      <c r="CR1" s="5" t="s">
        <v>111</v>
      </c>
      <c r="CS1" s="5" t="s">
        <v>112</v>
      </c>
      <c r="CT1" s="5" t="s">
        <v>113</v>
      </c>
      <c r="CU1" s="5" t="s">
        <v>114</v>
      </c>
      <c r="CV1" s="5" t="s">
        <v>115</v>
      </c>
      <c r="CW1" s="5" t="s">
        <v>116</v>
      </c>
      <c r="CX1" s="5" t="s">
        <v>117</v>
      </c>
      <c r="CY1" s="5" t="s">
        <v>118</v>
      </c>
      <c r="CZ1" s="5" t="s">
        <v>119</v>
      </c>
      <c r="DA1" s="5" t="s">
        <v>120</v>
      </c>
      <c r="DB1" s="5" t="s">
        <v>121</v>
      </c>
      <c r="DC1" s="5" t="s">
        <v>122</v>
      </c>
      <c r="DD1" s="5" t="s">
        <v>123</v>
      </c>
      <c r="DE1" s="5" t="s">
        <v>124</v>
      </c>
      <c r="DF1" s="5" t="s">
        <v>125</v>
      </c>
      <c r="DG1" s="5" t="s">
        <v>126</v>
      </c>
      <c r="DH1" s="5" t="s">
        <v>127</v>
      </c>
      <c r="DI1" s="5" t="s">
        <v>128</v>
      </c>
      <c r="DJ1" s="5" t="s">
        <v>129</v>
      </c>
      <c r="DK1" s="5" t="s">
        <v>130</v>
      </c>
      <c r="DL1" s="5" t="s">
        <v>131</v>
      </c>
      <c r="DM1" s="5" t="s">
        <v>132</v>
      </c>
      <c r="DN1" s="5" t="s">
        <v>133</v>
      </c>
      <c r="DO1" s="5" t="s">
        <v>134</v>
      </c>
      <c r="DP1" s="5" t="s">
        <v>135</v>
      </c>
      <c r="DQ1" s="5" t="s">
        <v>136</v>
      </c>
      <c r="DR1" s="5" t="s">
        <v>137</v>
      </c>
      <c r="DS1" s="5" t="s">
        <v>138</v>
      </c>
      <c r="DT1" s="5" t="s">
        <v>139</v>
      </c>
    </row>
    <row r="2" ht="17.6" spans="1:124">
      <c r="A2" s="5" t="s">
        <v>140</v>
      </c>
      <c r="B2" s="5">
        <v>32</v>
      </c>
      <c r="C2" s="5" t="s">
        <v>141</v>
      </c>
      <c r="D2" s="5" t="s">
        <v>142</v>
      </c>
      <c r="E2" s="5" t="s">
        <v>143</v>
      </c>
      <c r="F2" s="5" t="s">
        <v>144</v>
      </c>
      <c r="G2" s="6">
        <v>1.77913530497532e+18</v>
      </c>
      <c r="H2" s="5">
        <v>0.856544201159351</v>
      </c>
      <c r="I2" s="5">
        <v>0.850758615170038</v>
      </c>
      <c r="J2" s="5">
        <v>1.54827582</v>
      </c>
      <c r="K2" s="5">
        <v>0.856544201159351</v>
      </c>
      <c r="L2" s="6">
        <v>1.77913530497523e+18</v>
      </c>
      <c r="M2" s="5">
        <v>0.849710982658959</v>
      </c>
      <c r="N2" s="6">
        <v>1.77913533861897e+18</v>
      </c>
      <c r="O2" s="6">
        <v>1.77913501882428e+18</v>
      </c>
      <c r="P2" s="5">
        <v>172.19626253</v>
      </c>
      <c r="Q2" s="5">
        <v>0.25</v>
      </c>
      <c r="R2" s="5">
        <v>6</v>
      </c>
      <c r="S2" s="5" t="s">
        <v>145</v>
      </c>
      <c r="T2" s="5" t="s">
        <v>146</v>
      </c>
      <c r="U2" s="5" t="b">
        <v>0</v>
      </c>
      <c r="V2" s="5">
        <v>25</v>
      </c>
      <c r="W2" s="5">
        <v>0</v>
      </c>
      <c r="X2" s="5">
        <v>10</v>
      </c>
      <c r="Y2" s="5">
        <v>8</v>
      </c>
      <c r="Z2" s="5" t="b">
        <v>0</v>
      </c>
      <c r="AA2" s="5">
        <v>4</v>
      </c>
      <c r="AB2" s="5" t="b">
        <v>0</v>
      </c>
      <c r="AC2" s="5" t="b">
        <v>0</v>
      </c>
      <c r="AD2" s="5" t="s">
        <v>147</v>
      </c>
      <c r="AE2" s="5" t="s">
        <v>148</v>
      </c>
      <c r="AF2" s="5">
        <v>1</v>
      </c>
      <c r="AG2" s="5" t="b">
        <v>0</v>
      </c>
      <c r="AH2" s="5" t="b">
        <v>0</v>
      </c>
      <c r="AI2" s="5" t="s">
        <v>149</v>
      </c>
      <c r="AJ2" s="5">
        <v>3</v>
      </c>
      <c r="AK2" s="5" t="b">
        <v>0</v>
      </c>
      <c r="AL2" s="5">
        <v>7</v>
      </c>
      <c r="AM2" s="5">
        <v>0</v>
      </c>
      <c r="AN2" s="5">
        <v>0</v>
      </c>
      <c r="AO2" s="5" t="b">
        <v>0</v>
      </c>
      <c r="AP2" s="5">
        <v>0.001</v>
      </c>
      <c r="AQ2" s="5">
        <v>256</v>
      </c>
      <c r="AR2" s="5" t="b">
        <v>1</v>
      </c>
      <c r="AS2" s="5">
        <v>1</v>
      </c>
      <c r="AT2" s="5">
        <v>3</v>
      </c>
      <c r="AU2" s="5">
        <v>0.1</v>
      </c>
      <c r="AV2" s="5">
        <v>0.1</v>
      </c>
      <c r="AW2" s="5" t="b">
        <v>0</v>
      </c>
      <c r="AX2" s="5">
        <v>32</v>
      </c>
      <c r="AY2" s="5">
        <v>2026</v>
      </c>
      <c r="AZ2" s="5">
        <v>1</v>
      </c>
      <c r="BA2" s="5">
        <v>16</v>
      </c>
      <c r="BB2" s="5" t="s">
        <v>150</v>
      </c>
      <c r="BC2" s="5" t="s">
        <v>151</v>
      </c>
      <c r="BD2" s="5">
        <v>10</v>
      </c>
      <c r="BE2" s="5" t="b">
        <v>0</v>
      </c>
      <c r="BF2" s="5" t="s">
        <v>152</v>
      </c>
      <c r="BG2" s="5" t="s">
        <v>153</v>
      </c>
      <c r="BH2" s="5">
        <v>0</v>
      </c>
      <c r="BI2" s="5" t="s">
        <v>154</v>
      </c>
      <c r="BJ2" s="5">
        <v>2</v>
      </c>
      <c r="BK2" s="5"/>
      <c r="BL2" s="5" t="b">
        <v>0</v>
      </c>
      <c r="BM2" s="5">
        <v>0</v>
      </c>
      <c r="BN2" s="5">
        <v>0</v>
      </c>
      <c r="BO2" s="5" t="s">
        <v>155</v>
      </c>
      <c r="BP2" s="5">
        <v>128</v>
      </c>
      <c r="BQ2" s="5" t="s">
        <v>156</v>
      </c>
      <c r="BR2" s="5">
        <v>2</v>
      </c>
      <c r="BS2" s="5" t="s">
        <v>157</v>
      </c>
      <c r="BT2" s="5">
        <v>0</v>
      </c>
      <c r="BU2" s="5">
        <v>96</v>
      </c>
      <c r="BV2" s="5" t="b">
        <v>0</v>
      </c>
      <c r="BW2" s="5">
        <v>1000</v>
      </c>
      <c r="BX2" s="5">
        <v>0.3</v>
      </c>
      <c r="BY2" s="5" t="b">
        <v>0</v>
      </c>
      <c r="BZ2" s="5" t="s">
        <v>158</v>
      </c>
      <c r="CA2" s="5" t="s">
        <v>14</v>
      </c>
      <c r="CB2" s="5" t="s">
        <v>159</v>
      </c>
      <c r="CC2" s="5" t="s">
        <v>160</v>
      </c>
      <c r="CD2" s="5">
        <v>144</v>
      </c>
      <c r="CE2" s="5">
        <v>32</v>
      </c>
      <c r="CF2" s="5" t="b">
        <v>0</v>
      </c>
      <c r="CG2" s="5" t="s">
        <v>161</v>
      </c>
      <c r="CH2" s="5">
        <v>48</v>
      </c>
      <c r="CI2" s="5">
        <v>1</v>
      </c>
      <c r="CJ2" s="5">
        <v>0.25</v>
      </c>
      <c r="CK2" s="5">
        <v>7</v>
      </c>
      <c r="CL2" s="5" t="s">
        <v>162</v>
      </c>
      <c r="CM2" s="5">
        <v>7</v>
      </c>
      <c r="CN2" s="5" t="s">
        <v>163</v>
      </c>
      <c r="CO2" s="5">
        <v>0</v>
      </c>
      <c r="CP2" s="5" t="s">
        <v>8</v>
      </c>
      <c r="CQ2" s="5" t="s">
        <v>164</v>
      </c>
      <c r="CR2" s="5" t="s">
        <v>153</v>
      </c>
      <c r="CS2" s="5">
        <v>963</v>
      </c>
      <c r="CT2" s="5" t="b">
        <v>0</v>
      </c>
      <c r="CU2" s="5" t="s">
        <v>165</v>
      </c>
      <c r="CV2" s="5" t="b">
        <v>1</v>
      </c>
      <c r="CW2" s="5" t="b">
        <v>0</v>
      </c>
      <c r="CX2" s="5">
        <v>1</v>
      </c>
      <c r="CY2" s="5">
        <v>2</v>
      </c>
      <c r="CZ2" s="5" t="b">
        <v>0</v>
      </c>
      <c r="DA2" s="5" t="b">
        <v>0</v>
      </c>
      <c r="DB2" s="5" t="b">
        <v>0</v>
      </c>
      <c r="DC2" s="5" t="s">
        <v>166</v>
      </c>
      <c r="DD2" s="5" t="s">
        <v>167</v>
      </c>
      <c r="DE2" s="5" t="s">
        <v>168</v>
      </c>
      <c r="DF2" s="5">
        <v>0.5</v>
      </c>
      <c r="DG2" s="5">
        <v>10</v>
      </c>
      <c r="DH2" s="5">
        <v>0.3</v>
      </c>
      <c r="DI2" s="5">
        <v>1</v>
      </c>
      <c r="DJ2" s="5">
        <v>1</v>
      </c>
      <c r="DK2" s="5" t="s">
        <v>169</v>
      </c>
      <c r="DL2" s="5" t="b">
        <v>0</v>
      </c>
      <c r="DM2" s="5">
        <v>32</v>
      </c>
      <c r="DN2" s="5">
        <v>1</v>
      </c>
      <c r="DO2" s="5" t="s">
        <v>170</v>
      </c>
      <c r="DP2" s="5" t="s">
        <v>159</v>
      </c>
      <c r="DQ2" s="5" t="s">
        <v>171</v>
      </c>
      <c r="DR2" s="5" t="s">
        <v>172</v>
      </c>
      <c r="DS2" s="7" t="str">
        <f>_xlfn.XLOOKUP(CP2,datasetmap!B:B,datasetmap!A:A)</f>
        <v>PEMS-SF</v>
      </c>
      <c r="DT2" s="8">
        <f>(N2-G2)/1000000000</f>
        <v>33.643650048</v>
      </c>
    </row>
    <row r="3" ht="17.6" spans="1:124">
      <c r="A3" s="5" t="s">
        <v>173</v>
      </c>
      <c r="B3" s="5">
        <v>32</v>
      </c>
      <c r="C3" s="5" t="s">
        <v>141</v>
      </c>
      <c r="D3" s="5" t="s">
        <v>174</v>
      </c>
      <c r="E3" s="5" t="s">
        <v>175</v>
      </c>
      <c r="F3" s="5" t="s">
        <v>176</v>
      </c>
      <c r="G3" s="6">
        <v>1.77913485767165e+18</v>
      </c>
      <c r="H3" s="5">
        <v>0.979512346604073</v>
      </c>
      <c r="I3" s="5">
        <v>0.979000161202618</v>
      </c>
      <c r="J3" s="5">
        <v>0.761397587</v>
      </c>
      <c r="K3" s="5">
        <v>0.979512346604073</v>
      </c>
      <c r="L3" s="6">
        <v>1.77913485767158e+18</v>
      </c>
      <c r="M3" s="5">
        <v>0.979081400636653</v>
      </c>
      <c r="N3" s="6">
        <v>1.77913486367627e+18</v>
      </c>
      <c r="O3" s="6">
        <v>1.77913466110172e+18</v>
      </c>
      <c r="P3" s="5">
        <v>171.144794906</v>
      </c>
      <c r="Q3" s="5">
        <v>0.25</v>
      </c>
      <c r="R3" s="5">
        <v>6</v>
      </c>
      <c r="S3" s="5" t="s">
        <v>145</v>
      </c>
      <c r="T3" s="5" t="s">
        <v>146</v>
      </c>
      <c r="U3" s="5" t="b">
        <v>0</v>
      </c>
      <c r="V3" s="5">
        <v>25</v>
      </c>
      <c r="W3" s="5">
        <v>0</v>
      </c>
      <c r="X3" s="5">
        <v>10</v>
      </c>
      <c r="Y3" s="5">
        <v>8</v>
      </c>
      <c r="Z3" s="5" t="b">
        <v>0</v>
      </c>
      <c r="AA3" s="5">
        <v>4</v>
      </c>
      <c r="AB3" s="5" t="b">
        <v>0</v>
      </c>
      <c r="AC3" s="5" t="b">
        <v>0</v>
      </c>
      <c r="AD3" s="5" t="s">
        <v>147</v>
      </c>
      <c r="AE3" s="5" t="s">
        <v>177</v>
      </c>
      <c r="AF3" s="5">
        <v>1</v>
      </c>
      <c r="AG3" s="5" t="b">
        <v>0</v>
      </c>
      <c r="AH3" s="5" t="b">
        <v>0</v>
      </c>
      <c r="AI3" s="5" t="s">
        <v>149</v>
      </c>
      <c r="AJ3" s="5">
        <v>3</v>
      </c>
      <c r="AK3" s="5" t="b">
        <v>0</v>
      </c>
      <c r="AL3" s="5">
        <v>10</v>
      </c>
      <c r="AM3" s="5">
        <v>0</v>
      </c>
      <c r="AN3" s="5">
        <v>0</v>
      </c>
      <c r="AO3" s="5" t="b">
        <v>0</v>
      </c>
      <c r="AP3" s="5">
        <v>0.001</v>
      </c>
      <c r="AQ3" s="5">
        <v>256</v>
      </c>
      <c r="AR3" s="5" t="b">
        <v>1</v>
      </c>
      <c r="AS3" s="5">
        <v>1</v>
      </c>
      <c r="AT3" s="5">
        <v>3</v>
      </c>
      <c r="AU3" s="5">
        <v>0.1</v>
      </c>
      <c r="AV3" s="5">
        <v>0.1</v>
      </c>
      <c r="AW3" s="5" t="b">
        <v>0</v>
      </c>
      <c r="AX3" s="5">
        <v>32</v>
      </c>
      <c r="AY3" s="5">
        <v>2026</v>
      </c>
      <c r="AZ3" s="5">
        <v>1</v>
      </c>
      <c r="BA3" s="5">
        <v>16</v>
      </c>
      <c r="BB3" s="5" t="s">
        <v>178</v>
      </c>
      <c r="BC3" s="5" t="s">
        <v>151</v>
      </c>
      <c r="BD3" s="5">
        <v>10</v>
      </c>
      <c r="BE3" s="5" t="b">
        <v>0</v>
      </c>
      <c r="BF3" s="5" t="s">
        <v>152</v>
      </c>
      <c r="BG3" s="5" t="s">
        <v>179</v>
      </c>
      <c r="BH3" s="5">
        <v>0</v>
      </c>
      <c r="BI3" s="5" t="s">
        <v>154</v>
      </c>
      <c r="BJ3" s="5">
        <v>2</v>
      </c>
      <c r="BK3" s="5"/>
      <c r="BL3" s="5" t="b">
        <v>0</v>
      </c>
      <c r="BM3" s="5">
        <v>0</v>
      </c>
      <c r="BN3" s="5">
        <v>0</v>
      </c>
      <c r="BO3" s="5" t="s">
        <v>155</v>
      </c>
      <c r="BP3" s="5">
        <v>128</v>
      </c>
      <c r="BQ3" s="5" t="s">
        <v>156</v>
      </c>
      <c r="BR3" s="5">
        <v>2</v>
      </c>
      <c r="BS3" s="5" t="s">
        <v>157</v>
      </c>
      <c r="BT3" s="5">
        <v>0</v>
      </c>
      <c r="BU3" s="5">
        <v>96</v>
      </c>
      <c r="BV3" s="5" t="b">
        <v>0</v>
      </c>
      <c r="BW3" s="5">
        <v>1000</v>
      </c>
      <c r="BX3" s="5">
        <v>0.3</v>
      </c>
      <c r="BY3" s="5" t="b">
        <v>0</v>
      </c>
      <c r="BZ3" s="5" t="s">
        <v>180</v>
      </c>
      <c r="CA3" s="5" t="s">
        <v>14</v>
      </c>
      <c r="CB3" s="5" t="s">
        <v>181</v>
      </c>
      <c r="CC3" s="5" t="s">
        <v>160</v>
      </c>
      <c r="CD3" s="5">
        <v>93</v>
      </c>
      <c r="CE3" s="5">
        <v>32</v>
      </c>
      <c r="CF3" s="5" t="b">
        <v>0</v>
      </c>
      <c r="CG3" s="5" t="s">
        <v>161</v>
      </c>
      <c r="CH3" s="5">
        <v>48</v>
      </c>
      <c r="CI3" s="5">
        <v>1</v>
      </c>
      <c r="CJ3" s="5">
        <v>0.25</v>
      </c>
      <c r="CK3" s="5">
        <v>7</v>
      </c>
      <c r="CL3" s="5" t="s">
        <v>182</v>
      </c>
      <c r="CM3" s="5">
        <v>7</v>
      </c>
      <c r="CN3" s="5" t="s">
        <v>163</v>
      </c>
      <c r="CO3" s="5">
        <v>0</v>
      </c>
      <c r="CP3" s="5" t="s">
        <v>183</v>
      </c>
      <c r="CQ3" s="5" t="s">
        <v>164</v>
      </c>
      <c r="CR3" s="5" t="s">
        <v>179</v>
      </c>
      <c r="CS3" s="5">
        <v>13</v>
      </c>
      <c r="CT3" s="5" t="b">
        <v>0</v>
      </c>
      <c r="CU3" s="5" t="s">
        <v>165</v>
      </c>
      <c r="CV3" s="5" t="b">
        <v>1</v>
      </c>
      <c r="CW3" s="5" t="b">
        <v>0</v>
      </c>
      <c r="CX3" s="5">
        <v>1</v>
      </c>
      <c r="CY3" s="5">
        <v>2</v>
      </c>
      <c r="CZ3" s="5" t="b">
        <v>0</v>
      </c>
      <c r="DA3" s="5" t="b">
        <v>0</v>
      </c>
      <c r="DB3" s="5" t="b">
        <v>0</v>
      </c>
      <c r="DC3" s="5" t="s">
        <v>166</v>
      </c>
      <c r="DD3" s="5" t="s">
        <v>167</v>
      </c>
      <c r="DE3" s="5" t="s">
        <v>168</v>
      </c>
      <c r="DF3" s="5">
        <v>0.5</v>
      </c>
      <c r="DG3" s="5">
        <v>10</v>
      </c>
      <c r="DH3" s="5">
        <v>0.3</v>
      </c>
      <c r="DI3" s="5">
        <v>1</v>
      </c>
      <c r="DJ3" s="5">
        <v>1</v>
      </c>
      <c r="DK3" s="5" t="s">
        <v>169</v>
      </c>
      <c r="DL3" s="5" t="b">
        <v>0</v>
      </c>
      <c r="DM3" s="5">
        <v>32</v>
      </c>
      <c r="DN3" s="5">
        <v>1</v>
      </c>
      <c r="DO3" s="5" t="s">
        <v>170</v>
      </c>
      <c r="DP3" s="5" t="s">
        <v>181</v>
      </c>
      <c r="DQ3" s="5" t="s">
        <v>171</v>
      </c>
      <c r="DR3" s="5" t="s">
        <v>172</v>
      </c>
      <c r="DS3" s="7" t="str">
        <f>_xlfn.XLOOKUP(CP3,datasetmap!B:B,datasetmap!A:A)</f>
        <v>SAD</v>
      </c>
      <c r="DT3" s="8">
        <f t="shared" ref="DT3:DT66" si="0">(N3-G3)/1000000000</f>
        <v>6.004620032</v>
      </c>
    </row>
    <row r="4" ht="17.6" spans="1:124">
      <c r="A4" s="5" t="s">
        <v>184</v>
      </c>
      <c r="B4" s="5">
        <v>32</v>
      </c>
      <c r="C4" s="5" t="s">
        <v>141</v>
      </c>
      <c r="D4" s="5" t="s">
        <v>185</v>
      </c>
      <c r="E4" s="5" t="s">
        <v>186</v>
      </c>
      <c r="F4" s="5" t="s">
        <v>187</v>
      </c>
      <c r="G4" s="6">
        <v>1.77913471718012e+18</v>
      </c>
      <c r="H4" s="5">
        <v>0.664188644106305</v>
      </c>
      <c r="I4" s="5">
        <v>0.662641989377587</v>
      </c>
      <c r="J4" s="5">
        <v>2.207411191</v>
      </c>
      <c r="K4" s="5">
        <v>0.664188644106305</v>
      </c>
      <c r="L4" s="6">
        <v>1.77913471718006e+18</v>
      </c>
      <c r="M4" s="5">
        <v>0.66316685584563</v>
      </c>
      <c r="N4" s="6">
        <v>1.77913479907492e+18</v>
      </c>
      <c r="O4" s="6">
        <v>1.77913419909086e+18</v>
      </c>
      <c r="P4" s="5">
        <v>225.122344055</v>
      </c>
      <c r="Q4" s="5">
        <v>0.25</v>
      </c>
      <c r="R4" s="5">
        <v>6</v>
      </c>
      <c r="S4" s="5" t="s">
        <v>145</v>
      </c>
      <c r="T4" s="5" t="s">
        <v>146</v>
      </c>
      <c r="U4" s="5" t="b">
        <v>0</v>
      </c>
      <c r="V4" s="5">
        <v>25</v>
      </c>
      <c r="W4" s="5">
        <v>0</v>
      </c>
      <c r="X4" s="5">
        <v>10</v>
      </c>
      <c r="Y4" s="5">
        <v>8</v>
      </c>
      <c r="Z4" s="5" t="b">
        <v>0</v>
      </c>
      <c r="AA4" s="5">
        <v>4</v>
      </c>
      <c r="AB4" s="5" t="b">
        <v>0</v>
      </c>
      <c r="AC4" s="5" t="b">
        <v>0</v>
      </c>
      <c r="AD4" s="5" t="s">
        <v>147</v>
      </c>
      <c r="AE4" s="5" t="s">
        <v>188</v>
      </c>
      <c r="AF4" s="5">
        <v>1</v>
      </c>
      <c r="AG4" s="5" t="b">
        <v>0</v>
      </c>
      <c r="AH4" s="5" t="b">
        <v>0</v>
      </c>
      <c r="AI4" s="5" t="s">
        <v>149</v>
      </c>
      <c r="AJ4" s="5">
        <v>3</v>
      </c>
      <c r="AK4" s="5" t="b">
        <v>0</v>
      </c>
      <c r="AL4" s="5">
        <v>2</v>
      </c>
      <c r="AM4" s="5">
        <v>0</v>
      </c>
      <c r="AN4" s="5">
        <v>0</v>
      </c>
      <c r="AO4" s="5" t="b">
        <v>0</v>
      </c>
      <c r="AP4" s="5">
        <v>0.001</v>
      </c>
      <c r="AQ4" s="5">
        <v>256</v>
      </c>
      <c r="AR4" s="5" t="b">
        <v>1</v>
      </c>
      <c r="AS4" s="5">
        <v>1</v>
      </c>
      <c r="AT4" s="5">
        <v>3</v>
      </c>
      <c r="AU4" s="5">
        <v>0.1</v>
      </c>
      <c r="AV4" s="5">
        <v>0.1</v>
      </c>
      <c r="AW4" s="5" t="b">
        <v>0</v>
      </c>
      <c r="AX4" s="5">
        <v>32</v>
      </c>
      <c r="AY4" s="5">
        <v>2026</v>
      </c>
      <c r="AZ4" s="5">
        <v>1</v>
      </c>
      <c r="BA4" s="5">
        <v>16</v>
      </c>
      <c r="BB4" s="5" t="s">
        <v>189</v>
      </c>
      <c r="BC4" s="5" t="s">
        <v>151</v>
      </c>
      <c r="BD4" s="5">
        <v>10</v>
      </c>
      <c r="BE4" s="5" t="b">
        <v>0</v>
      </c>
      <c r="BF4" s="5" t="s">
        <v>152</v>
      </c>
      <c r="BG4" s="5" t="s">
        <v>190</v>
      </c>
      <c r="BH4" s="5">
        <v>0</v>
      </c>
      <c r="BI4" s="5" t="s">
        <v>154</v>
      </c>
      <c r="BJ4" s="5">
        <v>2</v>
      </c>
      <c r="BK4" s="5"/>
      <c r="BL4" s="5" t="b">
        <v>0</v>
      </c>
      <c r="BM4" s="5">
        <v>0</v>
      </c>
      <c r="BN4" s="5">
        <v>0</v>
      </c>
      <c r="BO4" s="5" t="s">
        <v>155</v>
      </c>
      <c r="BP4" s="5">
        <v>128</v>
      </c>
      <c r="BQ4" s="5" t="s">
        <v>156</v>
      </c>
      <c r="BR4" s="5">
        <v>2</v>
      </c>
      <c r="BS4" s="5" t="s">
        <v>157</v>
      </c>
      <c r="BT4" s="5">
        <v>0</v>
      </c>
      <c r="BU4" s="5">
        <v>96</v>
      </c>
      <c r="BV4" s="5" t="b">
        <v>0</v>
      </c>
      <c r="BW4" s="5">
        <v>1000</v>
      </c>
      <c r="BX4" s="5">
        <v>0.3</v>
      </c>
      <c r="BY4" s="5" t="b">
        <v>0</v>
      </c>
      <c r="BZ4" s="5" t="s">
        <v>191</v>
      </c>
      <c r="CA4" s="5" t="s">
        <v>14</v>
      </c>
      <c r="CB4" s="5" t="s">
        <v>192</v>
      </c>
      <c r="CC4" s="5" t="s">
        <v>160</v>
      </c>
      <c r="CD4" s="5">
        <v>62</v>
      </c>
      <c r="CE4" s="5">
        <v>32</v>
      </c>
      <c r="CF4" s="5" t="b">
        <v>0</v>
      </c>
      <c r="CG4" s="5" t="s">
        <v>161</v>
      </c>
      <c r="CH4" s="5">
        <v>48</v>
      </c>
      <c r="CI4" s="5">
        <v>1</v>
      </c>
      <c r="CJ4" s="5">
        <v>0.25</v>
      </c>
      <c r="CK4" s="5">
        <v>7</v>
      </c>
      <c r="CL4" s="5" t="s">
        <v>193</v>
      </c>
      <c r="CM4" s="5">
        <v>7</v>
      </c>
      <c r="CN4" s="5" t="s">
        <v>163</v>
      </c>
      <c r="CO4" s="5">
        <v>0</v>
      </c>
      <c r="CP4" s="5" t="s">
        <v>194</v>
      </c>
      <c r="CQ4" s="5" t="s">
        <v>164</v>
      </c>
      <c r="CR4" s="5" t="s">
        <v>190</v>
      </c>
      <c r="CS4" s="5">
        <v>144</v>
      </c>
      <c r="CT4" s="5" t="b">
        <v>0</v>
      </c>
      <c r="CU4" s="5" t="s">
        <v>165</v>
      </c>
      <c r="CV4" s="5" t="b">
        <v>1</v>
      </c>
      <c r="CW4" s="5" t="b">
        <v>0</v>
      </c>
      <c r="CX4" s="5">
        <v>1</v>
      </c>
      <c r="CY4" s="5">
        <v>2</v>
      </c>
      <c r="CZ4" s="5" t="b">
        <v>0</v>
      </c>
      <c r="DA4" s="5" t="b">
        <v>0</v>
      </c>
      <c r="DB4" s="5" t="b">
        <v>0</v>
      </c>
      <c r="DC4" s="5" t="s">
        <v>166</v>
      </c>
      <c r="DD4" s="5" t="s">
        <v>167</v>
      </c>
      <c r="DE4" s="5" t="s">
        <v>168</v>
      </c>
      <c r="DF4" s="5">
        <v>0.5</v>
      </c>
      <c r="DG4" s="5">
        <v>10</v>
      </c>
      <c r="DH4" s="5">
        <v>0.3</v>
      </c>
      <c r="DI4" s="5">
        <v>1</v>
      </c>
      <c r="DJ4" s="5">
        <v>1</v>
      </c>
      <c r="DK4" s="5" t="s">
        <v>169</v>
      </c>
      <c r="DL4" s="5" t="b">
        <v>0</v>
      </c>
      <c r="DM4" s="5">
        <v>32</v>
      </c>
      <c r="DN4" s="5">
        <v>1</v>
      </c>
      <c r="DO4" s="5" t="s">
        <v>170</v>
      </c>
      <c r="DP4" s="5" t="s">
        <v>192</v>
      </c>
      <c r="DQ4" s="5" t="s">
        <v>171</v>
      </c>
      <c r="DR4" s="5" t="s">
        <v>172</v>
      </c>
      <c r="DS4" s="7" t="str">
        <f>_xlfn.XLOOKUP(CP4,datasetmap!B:B,datasetmap!A:A)</f>
        <v>FD</v>
      </c>
      <c r="DT4" s="8">
        <f t="shared" si="0"/>
        <v>81.894799872</v>
      </c>
    </row>
    <row r="5" ht="17.6" spans="1:124">
      <c r="A5" s="5" t="s">
        <v>195</v>
      </c>
      <c r="B5" s="5">
        <v>32</v>
      </c>
      <c r="C5" s="5" t="s">
        <v>141</v>
      </c>
      <c r="D5" s="5" t="s">
        <v>196</v>
      </c>
      <c r="E5" s="5" t="s">
        <v>197</v>
      </c>
      <c r="F5" s="5" t="s">
        <v>198</v>
      </c>
      <c r="G5" s="6">
        <v>1.77913460996989e+18</v>
      </c>
      <c r="H5" s="5">
        <v>0.483164983164983</v>
      </c>
      <c r="I5" s="5">
        <v>0.48203842940685</v>
      </c>
      <c r="J5" s="5">
        <v>0.839015599</v>
      </c>
      <c r="K5" s="5">
        <v>0.483164983164983</v>
      </c>
      <c r="L5" s="6">
        <v>1.77913460996983e+18</v>
      </c>
      <c r="M5" s="5">
        <v>0.483333333333333</v>
      </c>
      <c r="N5" s="6">
        <v>1.77913461146922e+18</v>
      </c>
      <c r="O5" s="6">
        <v>1.77913454321664e+18</v>
      </c>
      <c r="P5" s="5">
        <v>64.371999041</v>
      </c>
      <c r="Q5" s="5">
        <v>0.25</v>
      </c>
      <c r="R5" s="5">
        <v>6</v>
      </c>
      <c r="S5" s="5" t="s">
        <v>145</v>
      </c>
      <c r="T5" s="5" t="s">
        <v>146</v>
      </c>
      <c r="U5" s="5" t="b">
        <v>0</v>
      </c>
      <c r="V5" s="5">
        <v>25</v>
      </c>
      <c r="W5" s="5">
        <v>0</v>
      </c>
      <c r="X5" s="5">
        <v>10</v>
      </c>
      <c r="Y5" s="5">
        <v>8</v>
      </c>
      <c r="Z5" s="5" t="b">
        <v>0</v>
      </c>
      <c r="AA5" s="5">
        <v>4</v>
      </c>
      <c r="AB5" s="5" t="b">
        <v>0</v>
      </c>
      <c r="AC5" s="5" t="b">
        <v>0</v>
      </c>
      <c r="AD5" s="5" t="s">
        <v>147</v>
      </c>
      <c r="AE5" s="5" t="s">
        <v>199</v>
      </c>
      <c r="AF5" s="5">
        <v>1</v>
      </c>
      <c r="AG5" s="5" t="b">
        <v>0</v>
      </c>
      <c r="AH5" s="5" t="b">
        <v>0</v>
      </c>
      <c r="AI5" s="5" t="s">
        <v>149</v>
      </c>
      <c r="AJ5" s="5">
        <v>3</v>
      </c>
      <c r="AK5" s="5" t="b">
        <v>0</v>
      </c>
      <c r="AL5" s="5">
        <v>2</v>
      </c>
      <c r="AM5" s="5">
        <v>0</v>
      </c>
      <c r="AN5" s="5">
        <v>0</v>
      </c>
      <c r="AO5" s="5" t="b">
        <v>0</v>
      </c>
      <c r="AP5" s="5">
        <v>0.001</v>
      </c>
      <c r="AQ5" s="5">
        <v>256</v>
      </c>
      <c r="AR5" s="5" t="b">
        <v>1</v>
      </c>
      <c r="AS5" s="5">
        <v>1</v>
      </c>
      <c r="AT5" s="5">
        <v>3</v>
      </c>
      <c r="AU5" s="5">
        <v>0.1</v>
      </c>
      <c r="AV5" s="5">
        <v>0.1</v>
      </c>
      <c r="AW5" s="5" t="b">
        <v>0</v>
      </c>
      <c r="AX5" s="5">
        <v>32</v>
      </c>
      <c r="AY5" s="5">
        <v>2026</v>
      </c>
      <c r="AZ5" s="5">
        <v>1</v>
      </c>
      <c r="BA5" s="5">
        <v>16</v>
      </c>
      <c r="BB5" s="5" t="s">
        <v>200</v>
      </c>
      <c r="BC5" s="5" t="s">
        <v>151</v>
      </c>
      <c r="BD5" s="5">
        <v>10</v>
      </c>
      <c r="BE5" s="5" t="b">
        <v>0</v>
      </c>
      <c r="BF5" s="5" t="s">
        <v>152</v>
      </c>
      <c r="BG5" s="5" t="s">
        <v>201</v>
      </c>
      <c r="BH5" s="5">
        <v>0</v>
      </c>
      <c r="BI5" s="5" t="s">
        <v>154</v>
      </c>
      <c r="BJ5" s="5">
        <v>2</v>
      </c>
      <c r="BK5" s="5"/>
      <c r="BL5" s="5" t="b">
        <v>0</v>
      </c>
      <c r="BM5" s="5">
        <v>0</v>
      </c>
      <c r="BN5" s="5">
        <v>0</v>
      </c>
      <c r="BO5" s="5" t="s">
        <v>155</v>
      </c>
      <c r="BP5" s="5">
        <v>128</v>
      </c>
      <c r="BQ5" s="5" t="s">
        <v>156</v>
      </c>
      <c r="BR5" s="5">
        <v>2</v>
      </c>
      <c r="BS5" s="5" t="s">
        <v>157</v>
      </c>
      <c r="BT5" s="5">
        <v>0</v>
      </c>
      <c r="BU5" s="5">
        <v>96</v>
      </c>
      <c r="BV5" s="5" t="b">
        <v>0</v>
      </c>
      <c r="BW5" s="5">
        <v>1000</v>
      </c>
      <c r="BX5" s="5">
        <v>0.3</v>
      </c>
      <c r="BY5" s="5" t="b">
        <v>0</v>
      </c>
      <c r="BZ5" s="5" t="s">
        <v>202</v>
      </c>
      <c r="CA5" s="5" t="s">
        <v>14</v>
      </c>
      <c r="CB5" s="5" t="s">
        <v>203</v>
      </c>
      <c r="CC5" s="5" t="s">
        <v>160</v>
      </c>
      <c r="CD5" s="5">
        <v>1152</v>
      </c>
      <c r="CE5" s="5">
        <v>32</v>
      </c>
      <c r="CF5" s="5" t="b">
        <v>0</v>
      </c>
      <c r="CG5" s="5" t="s">
        <v>161</v>
      </c>
      <c r="CH5" s="5">
        <v>48</v>
      </c>
      <c r="CI5" s="5">
        <v>1</v>
      </c>
      <c r="CJ5" s="5">
        <v>0.25</v>
      </c>
      <c r="CK5" s="5">
        <v>7</v>
      </c>
      <c r="CL5" s="5" t="s">
        <v>204</v>
      </c>
      <c r="CM5" s="5">
        <v>7</v>
      </c>
      <c r="CN5" s="5" t="s">
        <v>163</v>
      </c>
      <c r="CO5" s="5">
        <v>0</v>
      </c>
      <c r="CP5" s="5" t="s">
        <v>205</v>
      </c>
      <c r="CQ5" s="5" t="s">
        <v>164</v>
      </c>
      <c r="CR5" s="5" t="s">
        <v>201</v>
      </c>
      <c r="CS5" s="5">
        <v>7</v>
      </c>
      <c r="CT5" s="5" t="b">
        <v>0</v>
      </c>
      <c r="CU5" s="5" t="s">
        <v>165</v>
      </c>
      <c r="CV5" s="5" t="b">
        <v>1</v>
      </c>
      <c r="CW5" s="5" t="b">
        <v>0</v>
      </c>
      <c r="CX5" s="5">
        <v>1</v>
      </c>
      <c r="CY5" s="5">
        <v>2</v>
      </c>
      <c r="CZ5" s="5" t="b">
        <v>0</v>
      </c>
      <c r="DA5" s="5" t="b">
        <v>0</v>
      </c>
      <c r="DB5" s="5" t="b">
        <v>0</v>
      </c>
      <c r="DC5" s="5" t="s">
        <v>166</v>
      </c>
      <c r="DD5" s="5" t="s">
        <v>167</v>
      </c>
      <c r="DE5" s="5" t="s">
        <v>168</v>
      </c>
      <c r="DF5" s="5">
        <v>0.5</v>
      </c>
      <c r="DG5" s="5">
        <v>10</v>
      </c>
      <c r="DH5" s="5">
        <v>0.3</v>
      </c>
      <c r="DI5" s="5">
        <v>1</v>
      </c>
      <c r="DJ5" s="5">
        <v>1</v>
      </c>
      <c r="DK5" s="5" t="s">
        <v>169</v>
      </c>
      <c r="DL5" s="5" t="b">
        <v>0</v>
      </c>
      <c r="DM5" s="5">
        <v>32</v>
      </c>
      <c r="DN5" s="5">
        <v>1</v>
      </c>
      <c r="DO5" s="5" t="s">
        <v>170</v>
      </c>
      <c r="DP5" s="5" t="s">
        <v>203</v>
      </c>
      <c r="DQ5" s="5" t="s">
        <v>171</v>
      </c>
      <c r="DR5" s="5" t="s">
        <v>172</v>
      </c>
      <c r="DS5" s="7" t="str">
        <f>_xlfn.XLOOKUP(CP5,datasetmap!B:B,datasetmap!A:A)</f>
        <v>SRS2</v>
      </c>
      <c r="DT5" s="8">
        <f t="shared" si="0"/>
        <v>1.499330048</v>
      </c>
    </row>
    <row r="6" ht="17.6" spans="1:124">
      <c r="A6" s="5" t="s">
        <v>206</v>
      </c>
      <c r="B6" s="5">
        <v>32</v>
      </c>
      <c r="C6" s="5" t="s">
        <v>141</v>
      </c>
      <c r="D6" s="5" t="s">
        <v>207</v>
      </c>
      <c r="E6" s="5" t="s">
        <v>208</v>
      </c>
      <c r="F6" s="5" t="s">
        <v>209</v>
      </c>
      <c r="G6" s="6">
        <v>1.77913451680201e+18</v>
      </c>
      <c r="H6" s="5">
        <v>0.831270855593708</v>
      </c>
      <c r="I6" s="5">
        <v>0.801476727697736</v>
      </c>
      <c r="J6" s="5">
        <v>0.457890276</v>
      </c>
      <c r="K6" s="5">
        <v>0.831270855593708</v>
      </c>
      <c r="L6" s="6">
        <v>1.77913451680194e+18</v>
      </c>
      <c r="M6" s="5">
        <v>0.805460750853242</v>
      </c>
      <c r="N6" s="6">
        <v>1.77913451808301e+18</v>
      </c>
      <c r="O6" s="6">
        <v>1.77913448951818e+18</v>
      </c>
      <c r="P6" s="5">
        <v>24.61354861</v>
      </c>
      <c r="Q6" s="5">
        <v>0.25</v>
      </c>
      <c r="R6" s="5">
        <v>6</v>
      </c>
      <c r="S6" s="5" t="s">
        <v>145</v>
      </c>
      <c r="T6" s="5" t="s">
        <v>146</v>
      </c>
      <c r="U6" s="5" t="b">
        <v>0</v>
      </c>
      <c r="V6" s="5">
        <v>25</v>
      </c>
      <c r="W6" s="5">
        <v>0</v>
      </c>
      <c r="X6" s="5">
        <v>10</v>
      </c>
      <c r="Y6" s="5">
        <v>8</v>
      </c>
      <c r="Z6" s="5" t="b">
        <v>0</v>
      </c>
      <c r="AA6" s="5">
        <v>4</v>
      </c>
      <c r="AB6" s="5" t="b">
        <v>0</v>
      </c>
      <c r="AC6" s="5" t="b">
        <v>0</v>
      </c>
      <c r="AD6" s="5" t="s">
        <v>147</v>
      </c>
      <c r="AE6" s="5" t="s">
        <v>210</v>
      </c>
      <c r="AF6" s="5">
        <v>1</v>
      </c>
      <c r="AG6" s="5" t="b">
        <v>0</v>
      </c>
      <c r="AH6" s="5" t="b">
        <v>0</v>
      </c>
      <c r="AI6" s="5" t="s">
        <v>149</v>
      </c>
      <c r="AJ6" s="5">
        <v>3</v>
      </c>
      <c r="AK6" s="5" t="b">
        <v>0</v>
      </c>
      <c r="AL6" s="5">
        <v>2</v>
      </c>
      <c r="AM6" s="5">
        <v>0</v>
      </c>
      <c r="AN6" s="5">
        <v>0</v>
      </c>
      <c r="AO6" s="5" t="b">
        <v>0</v>
      </c>
      <c r="AP6" s="5">
        <v>0.001</v>
      </c>
      <c r="AQ6" s="5">
        <v>256</v>
      </c>
      <c r="AR6" s="5" t="b">
        <v>1</v>
      </c>
      <c r="AS6" s="5">
        <v>1</v>
      </c>
      <c r="AT6" s="5">
        <v>3</v>
      </c>
      <c r="AU6" s="5">
        <v>0.1</v>
      </c>
      <c r="AV6" s="5">
        <v>0.1</v>
      </c>
      <c r="AW6" s="5" t="b">
        <v>0</v>
      </c>
      <c r="AX6" s="5">
        <v>32</v>
      </c>
      <c r="AY6" s="5">
        <v>2026</v>
      </c>
      <c r="AZ6" s="5">
        <v>1</v>
      </c>
      <c r="BA6" s="5">
        <v>16</v>
      </c>
      <c r="BB6" s="5" t="s">
        <v>211</v>
      </c>
      <c r="BC6" s="5" t="s">
        <v>151</v>
      </c>
      <c r="BD6" s="5">
        <v>10</v>
      </c>
      <c r="BE6" s="5" t="b">
        <v>0</v>
      </c>
      <c r="BF6" s="5" t="s">
        <v>152</v>
      </c>
      <c r="BG6" s="5" t="s">
        <v>212</v>
      </c>
      <c r="BH6" s="5">
        <v>0</v>
      </c>
      <c r="BI6" s="5" t="s">
        <v>154</v>
      </c>
      <c r="BJ6" s="5">
        <v>2</v>
      </c>
      <c r="BK6" s="5"/>
      <c r="BL6" s="5" t="b">
        <v>0</v>
      </c>
      <c r="BM6" s="5">
        <v>0</v>
      </c>
      <c r="BN6" s="5">
        <v>0</v>
      </c>
      <c r="BO6" s="5" t="s">
        <v>155</v>
      </c>
      <c r="BP6" s="5">
        <v>128</v>
      </c>
      <c r="BQ6" s="5" t="s">
        <v>156</v>
      </c>
      <c r="BR6" s="5">
        <v>2</v>
      </c>
      <c r="BS6" s="5" t="s">
        <v>157</v>
      </c>
      <c r="BT6" s="5">
        <v>0</v>
      </c>
      <c r="BU6" s="5">
        <v>96</v>
      </c>
      <c r="BV6" s="5" t="b">
        <v>0</v>
      </c>
      <c r="BW6" s="5">
        <v>1000</v>
      </c>
      <c r="BX6" s="5">
        <v>0.3</v>
      </c>
      <c r="BY6" s="5" t="b">
        <v>0</v>
      </c>
      <c r="BZ6" s="5" t="s">
        <v>213</v>
      </c>
      <c r="CA6" s="5" t="s">
        <v>14</v>
      </c>
      <c r="CB6" s="5" t="s">
        <v>214</v>
      </c>
      <c r="CC6" s="5" t="s">
        <v>160</v>
      </c>
      <c r="CD6" s="5">
        <v>896</v>
      </c>
      <c r="CE6" s="5">
        <v>32</v>
      </c>
      <c r="CF6" s="5" t="b">
        <v>0</v>
      </c>
      <c r="CG6" s="5" t="s">
        <v>161</v>
      </c>
      <c r="CH6" s="5">
        <v>48</v>
      </c>
      <c r="CI6" s="5">
        <v>1</v>
      </c>
      <c r="CJ6" s="5">
        <v>0.25</v>
      </c>
      <c r="CK6" s="5">
        <v>7</v>
      </c>
      <c r="CL6" s="5" t="s">
        <v>215</v>
      </c>
      <c r="CM6" s="5">
        <v>7</v>
      </c>
      <c r="CN6" s="5" t="s">
        <v>163</v>
      </c>
      <c r="CO6" s="5">
        <v>0</v>
      </c>
      <c r="CP6" s="5" t="s">
        <v>216</v>
      </c>
      <c r="CQ6" s="5" t="s">
        <v>164</v>
      </c>
      <c r="CR6" s="5" t="s">
        <v>212</v>
      </c>
      <c r="CS6" s="5">
        <v>6</v>
      </c>
      <c r="CT6" s="5" t="b">
        <v>0</v>
      </c>
      <c r="CU6" s="5" t="s">
        <v>165</v>
      </c>
      <c r="CV6" s="5" t="b">
        <v>1</v>
      </c>
      <c r="CW6" s="5" t="b">
        <v>0</v>
      </c>
      <c r="CX6" s="5">
        <v>1</v>
      </c>
      <c r="CY6" s="5">
        <v>2</v>
      </c>
      <c r="CZ6" s="5" t="b">
        <v>0</v>
      </c>
      <c r="DA6" s="5" t="b">
        <v>0</v>
      </c>
      <c r="DB6" s="5" t="b">
        <v>0</v>
      </c>
      <c r="DC6" s="5" t="s">
        <v>166</v>
      </c>
      <c r="DD6" s="5" t="s">
        <v>167</v>
      </c>
      <c r="DE6" s="5" t="s">
        <v>168</v>
      </c>
      <c r="DF6" s="5">
        <v>0.5</v>
      </c>
      <c r="DG6" s="5">
        <v>10</v>
      </c>
      <c r="DH6" s="5">
        <v>0.3</v>
      </c>
      <c r="DI6" s="5">
        <v>1</v>
      </c>
      <c r="DJ6" s="5">
        <v>1</v>
      </c>
      <c r="DK6" s="5" t="s">
        <v>169</v>
      </c>
      <c r="DL6" s="5" t="b">
        <v>0</v>
      </c>
      <c r="DM6" s="5">
        <v>32</v>
      </c>
      <c r="DN6" s="5">
        <v>1</v>
      </c>
      <c r="DO6" s="5" t="s">
        <v>170</v>
      </c>
      <c r="DP6" s="5" t="s">
        <v>214</v>
      </c>
      <c r="DQ6" s="5" t="s">
        <v>171</v>
      </c>
      <c r="DR6" s="5" t="s">
        <v>172</v>
      </c>
      <c r="DS6" s="7" t="str">
        <f>_xlfn.XLOOKUP(CP6,datasetmap!B:B,datasetmap!A:A)</f>
        <v>SRS1</v>
      </c>
      <c r="DT6" s="8">
        <f t="shared" si="0"/>
        <v>1.280999936</v>
      </c>
    </row>
    <row r="7" ht="17.6" spans="1:124">
      <c r="A7" s="5" t="s">
        <v>217</v>
      </c>
      <c r="B7" s="5">
        <v>32</v>
      </c>
      <c r="C7" s="5" t="s">
        <v>141</v>
      </c>
      <c r="D7" s="5" t="s">
        <v>218</v>
      </c>
      <c r="E7" s="5" t="s">
        <v>219</v>
      </c>
      <c r="F7" s="5" t="s">
        <v>220</v>
      </c>
      <c r="G7" s="6">
        <v>1.77913446427872e+18</v>
      </c>
      <c r="H7" s="5">
        <v>0.953061099581882</v>
      </c>
      <c r="I7" s="5">
        <v>0.95163857313031</v>
      </c>
      <c r="J7" s="5">
        <v>0.432578263</v>
      </c>
      <c r="K7" s="5">
        <v>0.953061099581882</v>
      </c>
      <c r="L7" s="6">
        <v>1.77913446427862e+18</v>
      </c>
      <c r="M7" s="5">
        <v>0.951351351351351</v>
      </c>
      <c r="N7" s="6">
        <v>1.77913446538727e+18</v>
      </c>
      <c r="O7" s="6">
        <v>1.77913440529955e+18</v>
      </c>
      <c r="P7" s="5">
        <v>56.569046982</v>
      </c>
      <c r="Q7" s="5">
        <v>0.25</v>
      </c>
      <c r="R7" s="5">
        <v>6</v>
      </c>
      <c r="S7" s="5" t="s">
        <v>145</v>
      </c>
      <c r="T7" s="5" t="s">
        <v>146</v>
      </c>
      <c r="U7" s="5" t="b">
        <v>0</v>
      </c>
      <c r="V7" s="5">
        <v>25</v>
      </c>
      <c r="W7" s="5">
        <v>0</v>
      </c>
      <c r="X7" s="5">
        <v>10</v>
      </c>
      <c r="Y7" s="5">
        <v>8</v>
      </c>
      <c r="Z7" s="5" t="b">
        <v>0</v>
      </c>
      <c r="AA7" s="5">
        <v>4</v>
      </c>
      <c r="AB7" s="5" t="b">
        <v>0</v>
      </c>
      <c r="AC7" s="5" t="b">
        <v>0</v>
      </c>
      <c r="AD7" s="5" t="s">
        <v>147</v>
      </c>
      <c r="AE7" s="5" t="s">
        <v>221</v>
      </c>
      <c r="AF7" s="5">
        <v>1</v>
      </c>
      <c r="AG7" s="5" t="b">
        <v>0</v>
      </c>
      <c r="AH7" s="5" t="b">
        <v>0</v>
      </c>
      <c r="AI7" s="5" t="s">
        <v>149</v>
      </c>
      <c r="AJ7" s="5">
        <v>3</v>
      </c>
      <c r="AK7" s="5" t="b">
        <v>0</v>
      </c>
      <c r="AL7" s="5">
        <v>9</v>
      </c>
      <c r="AM7" s="5">
        <v>0</v>
      </c>
      <c r="AN7" s="5">
        <v>0</v>
      </c>
      <c r="AO7" s="5" t="b">
        <v>0</v>
      </c>
      <c r="AP7" s="5">
        <v>0.001</v>
      </c>
      <c r="AQ7" s="5">
        <v>256</v>
      </c>
      <c r="AR7" s="5" t="b">
        <v>1</v>
      </c>
      <c r="AS7" s="5">
        <v>1</v>
      </c>
      <c r="AT7" s="5">
        <v>3</v>
      </c>
      <c r="AU7" s="5">
        <v>0.1</v>
      </c>
      <c r="AV7" s="5">
        <v>0.1</v>
      </c>
      <c r="AW7" s="5" t="b">
        <v>0</v>
      </c>
      <c r="AX7" s="5">
        <v>32</v>
      </c>
      <c r="AY7" s="5">
        <v>2026</v>
      </c>
      <c r="AZ7" s="5">
        <v>1</v>
      </c>
      <c r="BA7" s="5">
        <v>16</v>
      </c>
      <c r="BB7" s="5" t="s">
        <v>222</v>
      </c>
      <c r="BC7" s="5" t="s">
        <v>151</v>
      </c>
      <c r="BD7" s="5">
        <v>10</v>
      </c>
      <c r="BE7" s="5" t="b">
        <v>0</v>
      </c>
      <c r="BF7" s="5" t="s">
        <v>152</v>
      </c>
      <c r="BG7" s="5" t="s">
        <v>223</v>
      </c>
      <c r="BH7" s="5">
        <v>0</v>
      </c>
      <c r="BI7" s="5" t="s">
        <v>154</v>
      </c>
      <c r="BJ7" s="5">
        <v>2</v>
      </c>
      <c r="BK7" s="5"/>
      <c r="BL7" s="5" t="b">
        <v>0</v>
      </c>
      <c r="BM7" s="5">
        <v>0</v>
      </c>
      <c r="BN7" s="5">
        <v>0</v>
      </c>
      <c r="BO7" s="5" t="s">
        <v>155</v>
      </c>
      <c r="BP7" s="5">
        <v>128</v>
      </c>
      <c r="BQ7" s="5" t="s">
        <v>156</v>
      </c>
      <c r="BR7" s="5">
        <v>2</v>
      </c>
      <c r="BS7" s="5" t="s">
        <v>157</v>
      </c>
      <c r="BT7" s="5">
        <v>0</v>
      </c>
      <c r="BU7" s="5">
        <v>96</v>
      </c>
      <c r="BV7" s="5" t="b">
        <v>0</v>
      </c>
      <c r="BW7" s="5">
        <v>1000</v>
      </c>
      <c r="BX7" s="5">
        <v>0.3</v>
      </c>
      <c r="BY7" s="5" t="b">
        <v>0</v>
      </c>
      <c r="BZ7" s="5" t="s">
        <v>224</v>
      </c>
      <c r="CA7" s="5" t="s">
        <v>14</v>
      </c>
      <c r="CB7" s="5" t="s">
        <v>225</v>
      </c>
      <c r="CC7" s="5" t="s">
        <v>160</v>
      </c>
      <c r="CD7" s="5">
        <v>29</v>
      </c>
      <c r="CE7" s="5">
        <v>32</v>
      </c>
      <c r="CF7" s="5" t="b">
        <v>0</v>
      </c>
      <c r="CG7" s="5" t="s">
        <v>161</v>
      </c>
      <c r="CH7" s="5">
        <v>48</v>
      </c>
      <c r="CI7" s="5">
        <v>1</v>
      </c>
      <c r="CJ7" s="5">
        <v>0.25</v>
      </c>
      <c r="CK7" s="5">
        <v>7</v>
      </c>
      <c r="CL7" s="5" t="s">
        <v>226</v>
      </c>
      <c r="CM7" s="5">
        <v>7</v>
      </c>
      <c r="CN7" s="5" t="s">
        <v>163</v>
      </c>
      <c r="CO7" s="5">
        <v>0</v>
      </c>
      <c r="CP7" s="5" t="s">
        <v>227</v>
      </c>
      <c r="CQ7" s="5" t="s">
        <v>164</v>
      </c>
      <c r="CR7" s="5" t="s">
        <v>223</v>
      </c>
      <c r="CS7" s="5">
        <v>12</v>
      </c>
      <c r="CT7" s="5" t="b">
        <v>0</v>
      </c>
      <c r="CU7" s="5" t="s">
        <v>165</v>
      </c>
      <c r="CV7" s="5" t="b">
        <v>1</v>
      </c>
      <c r="CW7" s="5" t="b">
        <v>0</v>
      </c>
      <c r="CX7" s="5">
        <v>1</v>
      </c>
      <c r="CY7" s="5">
        <v>2</v>
      </c>
      <c r="CZ7" s="5" t="b">
        <v>0</v>
      </c>
      <c r="DA7" s="5" t="b">
        <v>0</v>
      </c>
      <c r="DB7" s="5" t="b">
        <v>0</v>
      </c>
      <c r="DC7" s="5" t="s">
        <v>166</v>
      </c>
      <c r="DD7" s="5" t="s">
        <v>167</v>
      </c>
      <c r="DE7" s="5" t="s">
        <v>168</v>
      </c>
      <c r="DF7" s="5">
        <v>0.5</v>
      </c>
      <c r="DG7" s="5">
        <v>10</v>
      </c>
      <c r="DH7" s="5">
        <v>0.3</v>
      </c>
      <c r="DI7" s="5">
        <v>1</v>
      </c>
      <c r="DJ7" s="5">
        <v>1</v>
      </c>
      <c r="DK7" s="5" t="s">
        <v>169</v>
      </c>
      <c r="DL7" s="5" t="b">
        <v>0</v>
      </c>
      <c r="DM7" s="5">
        <v>32</v>
      </c>
      <c r="DN7" s="5">
        <v>1</v>
      </c>
      <c r="DO7" s="5" t="s">
        <v>170</v>
      </c>
      <c r="DP7" s="5" t="s">
        <v>225</v>
      </c>
      <c r="DQ7" s="5" t="s">
        <v>171</v>
      </c>
      <c r="DR7" s="5" t="s">
        <v>172</v>
      </c>
      <c r="DS7" s="7" t="str">
        <f>_xlfn.XLOOKUP(CP7,datasetmap!B:B,datasetmap!A:A)</f>
        <v>JV</v>
      </c>
      <c r="DT7" s="8">
        <f t="shared" si="0"/>
        <v>1.108549888</v>
      </c>
    </row>
    <row r="8" ht="17.6" spans="1:124">
      <c r="A8" s="5" t="s">
        <v>228</v>
      </c>
      <c r="B8" s="5">
        <v>32</v>
      </c>
      <c r="C8" s="5" t="s">
        <v>141</v>
      </c>
      <c r="D8" s="5" t="s">
        <v>229</v>
      </c>
      <c r="E8" s="5" t="s">
        <v>230</v>
      </c>
      <c r="F8" s="5" t="s">
        <v>231</v>
      </c>
      <c r="G8" s="6">
        <v>1.77913437909222e+18</v>
      </c>
      <c r="H8" s="5">
        <v>0.648030294872485</v>
      </c>
      <c r="I8" s="5">
        <v>0.650715745519563</v>
      </c>
      <c r="J8" s="5">
        <v>0.536778332</v>
      </c>
      <c r="K8" s="5">
        <v>0.648030294872485</v>
      </c>
      <c r="L8" s="6">
        <v>1.77913437909211e+18</v>
      </c>
      <c r="M8" s="5">
        <v>0.653658536585365</v>
      </c>
      <c r="N8" s="6">
        <v>1.77913438296837e+18</v>
      </c>
      <c r="O8" s="6">
        <v>1.77913433060042e+18</v>
      </c>
      <c r="P8" s="5">
        <v>38.226741449</v>
      </c>
      <c r="Q8" s="5">
        <v>0.25</v>
      </c>
      <c r="R8" s="5">
        <v>6</v>
      </c>
      <c r="S8" s="5" t="s">
        <v>145</v>
      </c>
      <c r="T8" s="5" t="s">
        <v>146</v>
      </c>
      <c r="U8" s="5" t="b">
        <v>0</v>
      </c>
      <c r="V8" s="5">
        <v>25</v>
      </c>
      <c r="W8" s="5">
        <v>0</v>
      </c>
      <c r="X8" s="5">
        <v>10</v>
      </c>
      <c r="Y8" s="5">
        <v>8</v>
      </c>
      <c r="Z8" s="5" t="b">
        <v>0</v>
      </c>
      <c r="AA8" s="5">
        <v>4</v>
      </c>
      <c r="AB8" s="5" t="b">
        <v>0</v>
      </c>
      <c r="AC8" s="5" t="b">
        <v>0</v>
      </c>
      <c r="AD8" s="5" t="s">
        <v>147</v>
      </c>
      <c r="AE8" s="5" t="s">
        <v>232</v>
      </c>
      <c r="AF8" s="5">
        <v>1</v>
      </c>
      <c r="AG8" s="5" t="b">
        <v>0</v>
      </c>
      <c r="AH8" s="5" t="b">
        <v>0</v>
      </c>
      <c r="AI8" s="5" t="s">
        <v>149</v>
      </c>
      <c r="AJ8" s="5">
        <v>3</v>
      </c>
      <c r="AK8" s="5" t="b">
        <v>0</v>
      </c>
      <c r="AL8" s="5">
        <v>2</v>
      </c>
      <c r="AM8" s="5">
        <v>0</v>
      </c>
      <c r="AN8" s="5">
        <v>0</v>
      </c>
      <c r="AO8" s="5" t="b">
        <v>0</v>
      </c>
      <c r="AP8" s="5">
        <v>0.001</v>
      </c>
      <c r="AQ8" s="5">
        <v>256</v>
      </c>
      <c r="AR8" s="5" t="b">
        <v>1</v>
      </c>
      <c r="AS8" s="5">
        <v>1</v>
      </c>
      <c r="AT8" s="5">
        <v>3</v>
      </c>
      <c r="AU8" s="5">
        <v>0.1</v>
      </c>
      <c r="AV8" s="5">
        <v>0.1</v>
      </c>
      <c r="AW8" s="5" t="b">
        <v>0</v>
      </c>
      <c r="AX8" s="5">
        <v>32</v>
      </c>
      <c r="AY8" s="5">
        <v>2026</v>
      </c>
      <c r="AZ8" s="5">
        <v>1</v>
      </c>
      <c r="BA8" s="5">
        <v>16</v>
      </c>
      <c r="BB8" s="5" t="s">
        <v>233</v>
      </c>
      <c r="BC8" s="5" t="s">
        <v>151</v>
      </c>
      <c r="BD8" s="5">
        <v>10</v>
      </c>
      <c r="BE8" s="5" t="b">
        <v>0</v>
      </c>
      <c r="BF8" s="5" t="s">
        <v>152</v>
      </c>
      <c r="BG8" s="5" t="s">
        <v>234</v>
      </c>
      <c r="BH8" s="5">
        <v>0</v>
      </c>
      <c r="BI8" s="5" t="s">
        <v>154</v>
      </c>
      <c r="BJ8" s="5">
        <v>2</v>
      </c>
      <c r="BK8" s="5"/>
      <c r="BL8" s="5" t="b">
        <v>0</v>
      </c>
      <c r="BM8" s="5">
        <v>0</v>
      </c>
      <c r="BN8" s="5">
        <v>0</v>
      </c>
      <c r="BO8" s="5" t="s">
        <v>155</v>
      </c>
      <c r="BP8" s="5">
        <v>128</v>
      </c>
      <c r="BQ8" s="5" t="s">
        <v>156</v>
      </c>
      <c r="BR8" s="5">
        <v>2</v>
      </c>
      <c r="BS8" s="5" t="s">
        <v>157</v>
      </c>
      <c r="BT8" s="5">
        <v>0</v>
      </c>
      <c r="BU8" s="5">
        <v>96</v>
      </c>
      <c r="BV8" s="5" t="b">
        <v>0</v>
      </c>
      <c r="BW8" s="5">
        <v>1000</v>
      </c>
      <c r="BX8" s="5">
        <v>0.3</v>
      </c>
      <c r="BY8" s="5" t="b">
        <v>0</v>
      </c>
      <c r="BZ8" s="5" t="s">
        <v>235</v>
      </c>
      <c r="CA8" s="5" t="s">
        <v>14</v>
      </c>
      <c r="CB8" s="5" t="s">
        <v>236</v>
      </c>
      <c r="CC8" s="5" t="s">
        <v>160</v>
      </c>
      <c r="CD8" s="5">
        <v>405</v>
      </c>
      <c r="CE8" s="5">
        <v>32</v>
      </c>
      <c r="CF8" s="5" t="b">
        <v>0</v>
      </c>
      <c r="CG8" s="5" t="s">
        <v>161</v>
      </c>
      <c r="CH8" s="5">
        <v>48</v>
      </c>
      <c r="CI8" s="5">
        <v>1</v>
      </c>
      <c r="CJ8" s="5">
        <v>0.25</v>
      </c>
      <c r="CK8" s="5">
        <v>7</v>
      </c>
      <c r="CL8" s="5" t="s">
        <v>237</v>
      </c>
      <c r="CM8" s="5">
        <v>7</v>
      </c>
      <c r="CN8" s="5" t="s">
        <v>163</v>
      </c>
      <c r="CO8" s="5">
        <v>0</v>
      </c>
      <c r="CP8" s="5" t="s">
        <v>238</v>
      </c>
      <c r="CQ8" s="5" t="s">
        <v>164</v>
      </c>
      <c r="CR8" s="5" t="s">
        <v>234</v>
      </c>
      <c r="CS8" s="5">
        <v>61</v>
      </c>
      <c r="CT8" s="5" t="b">
        <v>0</v>
      </c>
      <c r="CU8" s="5" t="s">
        <v>165</v>
      </c>
      <c r="CV8" s="5" t="b">
        <v>1</v>
      </c>
      <c r="CW8" s="5" t="b">
        <v>0</v>
      </c>
      <c r="CX8" s="5">
        <v>1</v>
      </c>
      <c r="CY8" s="5">
        <v>2</v>
      </c>
      <c r="CZ8" s="5" t="b">
        <v>0</v>
      </c>
      <c r="DA8" s="5" t="b">
        <v>0</v>
      </c>
      <c r="DB8" s="5" t="b">
        <v>0</v>
      </c>
      <c r="DC8" s="5" t="s">
        <v>166</v>
      </c>
      <c r="DD8" s="5" t="s">
        <v>167</v>
      </c>
      <c r="DE8" s="5" t="s">
        <v>168</v>
      </c>
      <c r="DF8" s="5">
        <v>0.5</v>
      </c>
      <c r="DG8" s="5">
        <v>10</v>
      </c>
      <c r="DH8" s="5">
        <v>0.3</v>
      </c>
      <c r="DI8" s="5">
        <v>1</v>
      </c>
      <c r="DJ8" s="5">
        <v>1</v>
      </c>
      <c r="DK8" s="5" t="s">
        <v>169</v>
      </c>
      <c r="DL8" s="5" t="b">
        <v>0</v>
      </c>
      <c r="DM8" s="5">
        <v>32</v>
      </c>
      <c r="DN8" s="5">
        <v>1</v>
      </c>
      <c r="DO8" s="5" t="s">
        <v>170</v>
      </c>
      <c r="DP8" s="5" t="s">
        <v>236</v>
      </c>
      <c r="DQ8" s="5" t="s">
        <v>171</v>
      </c>
      <c r="DR8" s="5" t="s">
        <v>172</v>
      </c>
      <c r="DS8" s="7" t="str">
        <f>_xlfn.XLOOKUP(CP8,datasetmap!B:B,datasetmap!A:A)</f>
        <v>HB</v>
      </c>
      <c r="DT8" s="8">
        <f t="shared" si="0"/>
        <v>3.876150016</v>
      </c>
    </row>
    <row r="9" ht="17.6" spans="1:124">
      <c r="A9" s="5" t="s">
        <v>239</v>
      </c>
      <c r="B9" s="5">
        <v>32</v>
      </c>
      <c r="C9" s="5" t="s">
        <v>141</v>
      </c>
      <c r="D9" s="5" t="s">
        <v>240</v>
      </c>
      <c r="E9" s="5" t="s">
        <v>241</v>
      </c>
      <c r="F9" s="5" t="s">
        <v>242</v>
      </c>
      <c r="G9" s="6">
        <v>1.77913428251599e+18</v>
      </c>
      <c r="H9" s="5">
        <v>0.304412118437482</v>
      </c>
      <c r="I9" s="5">
        <v>0.250153191073382</v>
      </c>
      <c r="J9" s="5">
        <v>0.522620303</v>
      </c>
      <c r="K9" s="5">
        <v>0.304412118437482</v>
      </c>
      <c r="L9" s="6">
        <v>1.77913428251584e+18</v>
      </c>
      <c r="M9" s="5">
        <v>0.264705882352941</v>
      </c>
      <c r="N9" s="6">
        <v>1.77913428380032e+18</v>
      </c>
      <c r="O9" s="6">
        <v>1.77913423138597e+18</v>
      </c>
      <c r="P9" s="5">
        <v>48.925014813</v>
      </c>
      <c r="Q9" s="5">
        <v>0.25</v>
      </c>
      <c r="R9" s="5">
        <v>6</v>
      </c>
      <c r="S9" s="5" t="s">
        <v>145</v>
      </c>
      <c r="T9" s="5" t="s">
        <v>146</v>
      </c>
      <c r="U9" s="5" t="b">
        <v>0</v>
      </c>
      <c r="V9" s="5">
        <v>25</v>
      </c>
      <c r="W9" s="5">
        <v>0</v>
      </c>
      <c r="X9" s="5">
        <v>10</v>
      </c>
      <c r="Y9" s="5">
        <v>8</v>
      </c>
      <c r="Z9" s="5" t="b">
        <v>0</v>
      </c>
      <c r="AA9" s="5">
        <v>4</v>
      </c>
      <c r="AB9" s="5" t="b">
        <v>0</v>
      </c>
      <c r="AC9" s="5" t="b">
        <v>0</v>
      </c>
      <c r="AD9" s="5" t="s">
        <v>147</v>
      </c>
      <c r="AE9" s="5" t="s">
        <v>243</v>
      </c>
      <c r="AF9" s="5">
        <v>1</v>
      </c>
      <c r="AG9" s="5" t="b">
        <v>0</v>
      </c>
      <c r="AH9" s="5" t="b">
        <v>0</v>
      </c>
      <c r="AI9" s="5" t="s">
        <v>149</v>
      </c>
      <c r="AJ9" s="5">
        <v>3</v>
      </c>
      <c r="AK9" s="5" t="b">
        <v>0</v>
      </c>
      <c r="AL9" s="5">
        <v>26</v>
      </c>
      <c r="AM9" s="5">
        <v>0</v>
      </c>
      <c r="AN9" s="5">
        <v>0</v>
      </c>
      <c r="AO9" s="5" t="b">
        <v>0</v>
      </c>
      <c r="AP9" s="5">
        <v>0.001</v>
      </c>
      <c r="AQ9" s="5">
        <v>256</v>
      </c>
      <c r="AR9" s="5" t="b">
        <v>1</v>
      </c>
      <c r="AS9" s="5">
        <v>1</v>
      </c>
      <c r="AT9" s="5">
        <v>3</v>
      </c>
      <c r="AU9" s="5">
        <v>0.1</v>
      </c>
      <c r="AV9" s="5">
        <v>0.1</v>
      </c>
      <c r="AW9" s="5" t="b">
        <v>0</v>
      </c>
      <c r="AX9" s="5">
        <v>32</v>
      </c>
      <c r="AY9" s="5">
        <v>2026</v>
      </c>
      <c r="AZ9" s="5">
        <v>1</v>
      </c>
      <c r="BA9" s="5">
        <v>16</v>
      </c>
      <c r="BB9" s="5" t="s">
        <v>244</v>
      </c>
      <c r="BC9" s="5" t="s">
        <v>151</v>
      </c>
      <c r="BD9" s="5">
        <v>10</v>
      </c>
      <c r="BE9" s="5" t="b">
        <v>0</v>
      </c>
      <c r="BF9" s="5" t="s">
        <v>152</v>
      </c>
      <c r="BG9" s="5" t="s">
        <v>245</v>
      </c>
      <c r="BH9" s="5">
        <v>0</v>
      </c>
      <c r="BI9" s="5" t="s">
        <v>154</v>
      </c>
      <c r="BJ9" s="5">
        <v>2</v>
      </c>
      <c r="BK9" s="5"/>
      <c r="BL9" s="5" t="b">
        <v>0</v>
      </c>
      <c r="BM9" s="5">
        <v>0</v>
      </c>
      <c r="BN9" s="5">
        <v>0</v>
      </c>
      <c r="BO9" s="5" t="s">
        <v>155</v>
      </c>
      <c r="BP9" s="5">
        <v>128</v>
      </c>
      <c r="BQ9" s="5" t="s">
        <v>156</v>
      </c>
      <c r="BR9" s="5">
        <v>2</v>
      </c>
      <c r="BS9" s="5" t="s">
        <v>157</v>
      </c>
      <c r="BT9" s="5">
        <v>0</v>
      </c>
      <c r="BU9" s="5">
        <v>96</v>
      </c>
      <c r="BV9" s="5" t="b">
        <v>0</v>
      </c>
      <c r="BW9" s="5">
        <v>1000</v>
      </c>
      <c r="BX9" s="5">
        <v>0.3</v>
      </c>
      <c r="BY9" s="5" t="b">
        <v>0</v>
      </c>
      <c r="BZ9" s="5" t="s">
        <v>246</v>
      </c>
      <c r="CA9" s="5" t="s">
        <v>14</v>
      </c>
      <c r="CB9" s="5" t="s">
        <v>247</v>
      </c>
      <c r="CC9" s="5" t="s">
        <v>160</v>
      </c>
      <c r="CD9" s="5">
        <v>152</v>
      </c>
      <c r="CE9" s="5">
        <v>32</v>
      </c>
      <c r="CF9" s="5" t="b">
        <v>0</v>
      </c>
      <c r="CG9" s="5" t="s">
        <v>161</v>
      </c>
      <c r="CH9" s="5">
        <v>48</v>
      </c>
      <c r="CI9" s="5">
        <v>1</v>
      </c>
      <c r="CJ9" s="5">
        <v>0.25</v>
      </c>
      <c r="CK9" s="5">
        <v>7</v>
      </c>
      <c r="CL9" s="5" t="s">
        <v>248</v>
      </c>
      <c r="CM9" s="5">
        <v>7</v>
      </c>
      <c r="CN9" s="5" t="s">
        <v>163</v>
      </c>
      <c r="CO9" s="5">
        <v>0</v>
      </c>
      <c r="CP9" s="5" t="s">
        <v>249</v>
      </c>
      <c r="CQ9" s="5" t="s">
        <v>164</v>
      </c>
      <c r="CR9" s="5" t="s">
        <v>245</v>
      </c>
      <c r="CS9" s="5">
        <v>3</v>
      </c>
      <c r="CT9" s="5" t="b">
        <v>0</v>
      </c>
      <c r="CU9" s="5" t="s">
        <v>165</v>
      </c>
      <c r="CV9" s="5" t="b">
        <v>1</v>
      </c>
      <c r="CW9" s="5" t="b">
        <v>0</v>
      </c>
      <c r="CX9" s="5">
        <v>1</v>
      </c>
      <c r="CY9" s="5">
        <v>2</v>
      </c>
      <c r="CZ9" s="5" t="b">
        <v>0</v>
      </c>
      <c r="DA9" s="5" t="b">
        <v>0</v>
      </c>
      <c r="DB9" s="5" t="b">
        <v>0</v>
      </c>
      <c r="DC9" s="5" t="s">
        <v>166</v>
      </c>
      <c r="DD9" s="5" t="s">
        <v>167</v>
      </c>
      <c r="DE9" s="5" t="s">
        <v>168</v>
      </c>
      <c r="DF9" s="5">
        <v>0.5</v>
      </c>
      <c r="DG9" s="5">
        <v>10</v>
      </c>
      <c r="DH9" s="5">
        <v>0.3</v>
      </c>
      <c r="DI9" s="5">
        <v>1</v>
      </c>
      <c r="DJ9" s="5">
        <v>1</v>
      </c>
      <c r="DK9" s="5" t="s">
        <v>169</v>
      </c>
      <c r="DL9" s="5" t="b">
        <v>0</v>
      </c>
      <c r="DM9" s="5">
        <v>32</v>
      </c>
      <c r="DN9" s="5">
        <v>1</v>
      </c>
      <c r="DO9" s="5" t="s">
        <v>170</v>
      </c>
      <c r="DP9" s="5" t="s">
        <v>247</v>
      </c>
      <c r="DQ9" s="5" t="s">
        <v>171</v>
      </c>
      <c r="DR9" s="5" t="s">
        <v>172</v>
      </c>
      <c r="DS9" s="7" t="str">
        <f>_xlfn.XLOOKUP(CP9,datasetmap!B:B,datasetmap!A:A)</f>
        <v>HW</v>
      </c>
      <c r="DT9" s="8">
        <f t="shared" si="0"/>
        <v>1.284329984</v>
      </c>
    </row>
    <row r="10" ht="17.6" spans="1:124">
      <c r="A10" s="5" t="s">
        <v>250</v>
      </c>
      <c r="B10" s="5">
        <v>32</v>
      </c>
      <c r="C10" s="5" t="s">
        <v>141</v>
      </c>
      <c r="D10" s="5" t="s">
        <v>251</v>
      </c>
      <c r="E10" s="5" t="s">
        <v>252</v>
      </c>
      <c r="F10" s="5" t="s">
        <v>253</v>
      </c>
      <c r="G10" s="6">
        <v>1.77913417280472e+18</v>
      </c>
      <c r="H10" s="5">
        <v>0.908278694116844</v>
      </c>
      <c r="I10" s="5">
        <v>0.89050708443772</v>
      </c>
      <c r="J10" s="5">
        <v>1.492735061</v>
      </c>
      <c r="K10" s="5">
        <v>0.908278694116844</v>
      </c>
      <c r="L10" s="6">
        <v>1.77913417280463e+18</v>
      </c>
      <c r="M10" s="5">
        <v>0.895953757225433</v>
      </c>
      <c r="N10" s="6">
        <v>1.77913420662192e+18</v>
      </c>
      <c r="O10" s="6">
        <v>1.77913379268361e+18</v>
      </c>
      <c r="P10" s="5">
        <v>240.963542859</v>
      </c>
      <c r="Q10" s="5">
        <v>0.25</v>
      </c>
      <c r="R10" s="5">
        <v>6</v>
      </c>
      <c r="S10" s="5" t="s">
        <v>145</v>
      </c>
      <c r="T10" s="5" t="s">
        <v>146</v>
      </c>
      <c r="U10" s="5" t="b">
        <v>0</v>
      </c>
      <c r="V10" s="5">
        <v>25</v>
      </c>
      <c r="W10" s="5">
        <v>0</v>
      </c>
      <c r="X10" s="5">
        <v>10</v>
      </c>
      <c r="Y10" s="5">
        <v>8</v>
      </c>
      <c r="Z10" s="5" t="b">
        <v>0</v>
      </c>
      <c r="AA10" s="5">
        <v>4</v>
      </c>
      <c r="AB10" s="5" t="b">
        <v>0</v>
      </c>
      <c r="AC10" s="5" t="b">
        <v>0</v>
      </c>
      <c r="AD10" s="5" t="s">
        <v>147</v>
      </c>
      <c r="AE10" s="5" t="s">
        <v>254</v>
      </c>
      <c r="AF10" s="5">
        <v>1</v>
      </c>
      <c r="AG10" s="5" t="b">
        <v>0</v>
      </c>
      <c r="AH10" s="5" t="b">
        <v>0</v>
      </c>
      <c r="AI10" s="5" t="s">
        <v>149</v>
      </c>
      <c r="AJ10" s="5">
        <v>3</v>
      </c>
      <c r="AK10" s="5" t="b">
        <v>0</v>
      </c>
      <c r="AL10" s="5">
        <v>7</v>
      </c>
      <c r="AM10" s="5">
        <v>0</v>
      </c>
      <c r="AN10" s="5">
        <v>0</v>
      </c>
      <c r="AO10" s="5" t="b">
        <v>0</v>
      </c>
      <c r="AP10" s="5">
        <v>0.001</v>
      </c>
      <c r="AQ10" s="5">
        <v>256</v>
      </c>
      <c r="AR10" s="5" t="b">
        <v>1</v>
      </c>
      <c r="AS10" s="5">
        <v>1</v>
      </c>
      <c r="AT10" s="5">
        <v>3</v>
      </c>
      <c r="AU10" s="5">
        <v>0.1</v>
      </c>
      <c r="AV10" s="5">
        <v>0.1</v>
      </c>
      <c r="AW10" s="5" t="b">
        <v>0</v>
      </c>
      <c r="AX10" s="5">
        <v>32</v>
      </c>
      <c r="AY10" s="5">
        <v>1234</v>
      </c>
      <c r="AZ10" s="5">
        <v>1</v>
      </c>
      <c r="BA10" s="5">
        <v>16</v>
      </c>
      <c r="BB10" s="5" t="s">
        <v>150</v>
      </c>
      <c r="BC10" s="5" t="s">
        <v>151</v>
      </c>
      <c r="BD10" s="5">
        <v>10</v>
      </c>
      <c r="BE10" s="5" t="b">
        <v>0</v>
      </c>
      <c r="BF10" s="5" t="s">
        <v>152</v>
      </c>
      <c r="BG10" s="5" t="s">
        <v>255</v>
      </c>
      <c r="BH10" s="5">
        <v>0</v>
      </c>
      <c r="BI10" s="5" t="s">
        <v>154</v>
      </c>
      <c r="BJ10" s="5">
        <v>2</v>
      </c>
      <c r="BK10" s="5"/>
      <c r="BL10" s="5" t="b">
        <v>0</v>
      </c>
      <c r="BM10" s="5">
        <v>0</v>
      </c>
      <c r="BN10" s="5">
        <v>0</v>
      </c>
      <c r="BO10" s="5" t="s">
        <v>155</v>
      </c>
      <c r="BP10" s="5">
        <v>128</v>
      </c>
      <c r="BQ10" s="5" t="s">
        <v>156</v>
      </c>
      <c r="BR10" s="5">
        <v>2</v>
      </c>
      <c r="BS10" s="5" t="s">
        <v>157</v>
      </c>
      <c r="BT10" s="5">
        <v>0</v>
      </c>
      <c r="BU10" s="5">
        <v>96</v>
      </c>
      <c r="BV10" s="5" t="b">
        <v>0</v>
      </c>
      <c r="BW10" s="5">
        <v>1000</v>
      </c>
      <c r="BX10" s="5">
        <v>0.3</v>
      </c>
      <c r="BY10" s="5" t="b">
        <v>0</v>
      </c>
      <c r="BZ10" s="5" t="s">
        <v>256</v>
      </c>
      <c r="CA10" s="5" t="s">
        <v>14</v>
      </c>
      <c r="CB10" s="5" t="s">
        <v>257</v>
      </c>
      <c r="CC10" s="5" t="s">
        <v>160</v>
      </c>
      <c r="CD10" s="5">
        <v>144</v>
      </c>
      <c r="CE10" s="5">
        <v>32</v>
      </c>
      <c r="CF10" s="5" t="b">
        <v>0</v>
      </c>
      <c r="CG10" s="5" t="s">
        <v>161</v>
      </c>
      <c r="CH10" s="5">
        <v>48</v>
      </c>
      <c r="CI10" s="5">
        <v>1</v>
      </c>
      <c r="CJ10" s="5">
        <v>0.25</v>
      </c>
      <c r="CK10" s="5">
        <v>7</v>
      </c>
      <c r="CL10" s="5" t="s">
        <v>258</v>
      </c>
      <c r="CM10" s="5">
        <v>7</v>
      </c>
      <c r="CN10" s="5" t="s">
        <v>163</v>
      </c>
      <c r="CO10" s="5">
        <v>0</v>
      </c>
      <c r="CP10" s="5" t="s">
        <v>8</v>
      </c>
      <c r="CQ10" s="5" t="s">
        <v>164</v>
      </c>
      <c r="CR10" s="5" t="s">
        <v>255</v>
      </c>
      <c r="CS10" s="5">
        <v>963</v>
      </c>
      <c r="CT10" s="5" t="b">
        <v>0</v>
      </c>
      <c r="CU10" s="5" t="s">
        <v>165</v>
      </c>
      <c r="CV10" s="5" t="b">
        <v>1</v>
      </c>
      <c r="CW10" s="5" t="b">
        <v>0</v>
      </c>
      <c r="CX10" s="5">
        <v>1</v>
      </c>
      <c r="CY10" s="5">
        <v>2</v>
      </c>
      <c r="CZ10" s="5" t="b">
        <v>0</v>
      </c>
      <c r="DA10" s="5" t="b">
        <v>0</v>
      </c>
      <c r="DB10" s="5" t="b">
        <v>0</v>
      </c>
      <c r="DC10" s="5" t="s">
        <v>166</v>
      </c>
      <c r="DD10" s="5" t="s">
        <v>167</v>
      </c>
      <c r="DE10" s="5" t="s">
        <v>168</v>
      </c>
      <c r="DF10" s="5">
        <v>0.5</v>
      </c>
      <c r="DG10" s="5">
        <v>10</v>
      </c>
      <c r="DH10" s="5">
        <v>0.3</v>
      </c>
      <c r="DI10" s="5">
        <v>1</v>
      </c>
      <c r="DJ10" s="5">
        <v>1</v>
      </c>
      <c r="DK10" s="5" t="s">
        <v>169</v>
      </c>
      <c r="DL10" s="5" t="b">
        <v>0</v>
      </c>
      <c r="DM10" s="5">
        <v>32</v>
      </c>
      <c r="DN10" s="5">
        <v>1</v>
      </c>
      <c r="DO10" s="5" t="s">
        <v>170</v>
      </c>
      <c r="DP10" s="5" t="s">
        <v>257</v>
      </c>
      <c r="DQ10" s="5" t="s">
        <v>171</v>
      </c>
      <c r="DR10" s="5" t="s">
        <v>172</v>
      </c>
      <c r="DS10" s="7" t="str">
        <f>_xlfn.XLOOKUP(CP10,datasetmap!B:B,datasetmap!A:A)</f>
        <v>PEMS-SF</v>
      </c>
      <c r="DT10" s="8">
        <f t="shared" si="0"/>
        <v>33.817199872</v>
      </c>
    </row>
    <row r="11" ht="17.6" spans="1:124">
      <c r="A11" s="5" t="s">
        <v>259</v>
      </c>
      <c r="B11" s="5">
        <v>32</v>
      </c>
      <c r="C11" s="5" t="s">
        <v>141</v>
      </c>
      <c r="D11" s="5" t="s">
        <v>260</v>
      </c>
      <c r="E11" s="5" t="s">
        <v>261</v>
      </c>
      <c r="F11" s="5" t="s">
        <v>262</v>
      </c>
      <c r="G11" s="6">
        <v>1.77913383932728e+18</v>
      </c>
      <c r="H11" s="5">
        <v>0.248820584178883</v>
      </c>
      <c r="I11" s="5">
        <v>0.24697445160067</v>
      </c>
      <c r="J11" s="5">
        <v>0.967120314</v>
      </c>
      <c r="K11" s="5">
        <v>0.248820584178883</v>
      </c>
      <c r="L11" s="6">
        <v>1.77913383932721e+18</v>
      </c>
      <c r="M11" s="5">
        <v>0.250950570342205</v>
      </c>
      <c r="N11" s="6">
        <v>1.77913384105508e+18</v>
      </c>
      <c r="O11" s="6">
        <v>1.77913368429439e+18</v>
      </c>
      <c r="P11" s="5">
        <v>152.677895679</v>
      </c>
      <c r="Q11" s="5">
        <v>0.25</v>
      </c>
      <c r="R11" s="5">
        <v>6</v>
      </c>
      <c r="S11" s="5" t="s">
        <v>145</v>
      </c>
      <c r="T11" s="5" t="s">
        <v>146</v>
      </c>
      <c r="U11" s="5" t="b">
        <v>0</v>
      </c>
      <c r="V11" s="5">
        <v>25</v>
      </c>
      <c r="W11" s="5">
        <v>0</v>
      </c>
      <c r="X11" s="5">
        <v>10</v>
      </c>
      <c r="Y11" s="5">
        <v>8</v>
      </c>
      <c r="Z11" s="5" t="b">
        <v>0</v>
      </c>
      <c r="AA11" s="5">
        <v>4</v>
      </c>
      <c r="AB11" s="5" t="b">
        <v>0</v>
      </c>
      <c r="AC11" s="5" t="b">
        <v>0</v>
      </c>
      <c r="AD11" s="5" t="s">
        <v>147</v>
      </c>
      <c r="AE11" s="5" t="s">
        <v>263</v>
      </c>
      <c r="AF11" s="5">
        <v>1</v>
      </c>
      <c r="AG11" s="5" t="b">
        <v>0</v>
      </c>
      <c r="AH11" s="5" t="b">
        <v>0</v>
      </c>
      <c r="AI11" s="5" t="s">
        <v>149</v>
      </c>
      <c r="AJ11" s="5">
        <v>3</v>
      </c>
      <c r="AK11" s="5" t="b">
        <v>0</v>
      </c>
      <c r="AL11" s="5">
        <v>4</v>
      </c>
      <c r="AM11" s="5">
        <v>0</v>
      </c>
      <c r="AN11" s="5">
        <v>0</v>
      </c>
      <c r="AO11" s="5" t="b">
        <v>0</v>
      </c>
      <c r="AP11" s="5">
        <v>0.001</v>
      </c>
      <c r="AQ11" s="5">
        <v>256</v>
      </c>
      <c r="AR11" s="5" t="b">
        <v>1</v>
      </c>
      <c r="AS11" s="5">
        <v>1</v>
      </c>
      <c r="AT11" s="5">
        <v>3</v>
      </c>
      <c r="AU11" s="5">
        <v>0.1</v>
      </c>
      <c r="AV11" s="5">
        <v>0.1</v>
      </c>
      <c r="AW11" s="5" t="b">
        <v>0</v>
      </c>
      <c r="AX11" s="5">
        <v>32</v>
      </c>
      <c r="AY11" s="5">
        <v>2026</v>
      </c>
      <c r="AZ11" s="5">
        <v>1</v>
      </c>
      <c r="BA11" s="5">
        <v>16</v>
      </c>
      <c r="BB11" s="5" t="s">
        <v>264</v>
      </c>
      <c r="BC11" s="5" t="s">
        <v>151</v>
      </c>
      <c r="BD11" s="5">
        <v>10</v>
      </c>
      <c r="BE11" s="5" t="b">
        <v>0</v>
      </c>
      <c r="BF11" s="5" t="s">
        <v>152</v>
      </c>
      <c r="BG11" s="5" t="s">
        <v>265</v>
      </c>
      <c r="BH11" s="5">
        <v>0</v>
      </c>
      <c r="BI11" s="5" t="s">
        <v>154</v>
      </c>
      <c r="BJ11" s="5">
        <v>2</v>
      </c>
      <c r="BK11" s="5"/>
      <c r="BL11" s="5" t="b">
        <v>0</v>
      </c>
      <c r="BM11" s="5">
        <v>0</v>
      </c>
      <c r="BN11" s="5">
        <v>0</v>
      </c>
      <c r="BO11" s="5" t="s">
        <v>155</v>
      </c>
      <c r="BP11" s="5">
        <v>128</v>
      </c>
      <c r="BQ11" s="5" t="s">
        <v>156</v>
      </c>
      <c r="BR11" s="5">
        <v>2</v>
      </c>
      <c r="BS11" s="5" t="s">
        <v>157</v>
      </c>
      <c r="BT11" s="5">
        <v>0</v>
      </c>
      <c r="BU11" s="5">
        <v>96</v>
      </c>
      <c r="BV11" s="5" t="b">
        <v>0</v>
      </c>
      <c r="BW11" s="5">
        <v>1000</v>
      </c>
      <c r="BX11" s="5">
        <v>0.3</v>
      </c>
      <c r="BY11" s="5" t="b">
        <v>0</v>
      </c>
      <c r="BZ11" s="5" t="s">
        <v>266</v>
      </c>
      <c r="CA11" s="5" t="s">
        <v>14</v>
      </c>
      <c r="CB11" s="5" t="s">
        <v>267</v>
      </c>
      <c r="CC11" s="5" t="s">
        <v>160</v>
      </c>
      <c r="CD11" s="5">
        <v>1751</v>
      </c>
      <c r="CE11" s="5">
        <v>32</v>
      </c>
      <c r="CF11" s="5" t="b">
        <v>0</v>
      </c>
      <c r="CG11" s="5" t="s">
        <v>161</v>
      </c>
      <c r="CH11" s="5">
        <v>48</v>
      </c>
      <c r="CI11" s="5">
        <v>1</v>
      </c>
      <c r="CJ11" s="5">
        <v>0.25</v>
      </c>
      <c r="CK11" s="5">
        <v>7</v>
      </c>
      <c r="CL11" s="5" t="s">
        <v>268</v>
      </c>
      <c r="CM11" s="5">
        <v>7</v>
      </c>
      <c r="CN11" s="5" t="s">
        <v>163</v>
      </c>
      <c r="CO11" s="5">
        <v>0</v>
      </c>
      <c r="CP11" s="5" t="s">
        <v>269</v>
      </c>
      <c r="CQ11" s="5" t="s">
        <v>164</v>
      </c>
      <c r="CR11" s="5" t="s">
        <v>265</v>
      </c>
      <c r="CS11" s="5">
        <v>3</v>
      </c>
      <c r="CT11" s="5" t="b">
        <v>0</v>
      </c>
      <c r="CU11" s="5" t="s">
        <v>165</v>
      </c>
      <c r="CV11" s="5" t="b">
        <v>1</v>
      </c>
      <c r="CW11" s="5" t="b">
        <v>0</v>
      </c>
      <c r="CX11" s="5">
        <v>1</v>
      </c>
      <c r="CY11" s="5">
        <v>2</v>
      </c>
      <c r="CZ11" s="5" t="b">
        <v>0</v>
      </c>
      <c r="DA11" s="5" t="b">
        <v>0</v>
      </c>
      <c r="DB11" s="5" t="b">
        <v>0</v>
      </c>
      <c r="DC11" s="5" t="s">
        <v>166</v>
      </c>
      <c r="DD11" s="5" t="s">
        <v>167</v>
      </c>
      <c r="DE11" s="5" t="s">
        <v>168</v>
      </c>
      <c r="DF11" s="5">
        <v>0.5</v>
      </c>
      <c r="DG11" s="5">
        <v>10</v>
      </c>
      <c r="DH11" s="5">
        <v>0.3</v>
      </c>
      <c r="DI11" s="5">
        <v>1</v>
      </c>
      <c r="DJ11" s="5">
        <v>1</v>
      </c>
      <c r="DK11" s="5" t="s">
        <v>169</v>
      </c>
      <c r="DL11" s="5" t="b">
        <v>0</v>
      </c>
      <c r="DM11" s="5">
        <v>32</v>
      </c>
      <c r="DN11" s="5">
        <v>1</v>
      </c>
      <c r="DO11" s="5" t="s">
        <v>170</v>
      </c>
      <c r="DP11" s="5" t="s">
        <v>267</v>
      </c>
      <c r="DQ11" s="5" t="s">
        <v>171</v>
      </c>
      <c r="DR11" s="5" t="s">
        <v>172</v>
      </c>
      <c r="DS11" s="7" t="str">
        <f>_xlfn.XLOOKUP(CP11,datasetmap!B:B,datasetmap!A:A)</f>
        <v>EC</v>
      </c>
      <c r="DT11" s="8">
        <f t="shared" si="0"/>
        <v>1.727799808</v>
      </c>
    </row>
    <row r="12" ht="17.6" spans="1:124">
      <c r="A12" s="5" t="s">
        <v>270</v>
      </c>
      <c r="B12" s="5">
        <v>32</v>
      </c>
      <c r="C12" s="5" t="s">
        <v>141</v>
      </c>
      <c r="D12" s="5" t="s">
        <v>271</v>
      </c>
      <c r="E12" s="5" t="s">
        <v>272</v>
      </c>
      <c r="F12" s="5" t="s">
        <v>273</v>
      </c>
      <c r="G12" s="6">
        <v>1.77913365807111e+18</v>
      </c>
      <c r="H12" s="5">
        <v>0.838534110249285</v>
      </c>
      <c r="I12" s="5">
        <v>0.829104739898585</v>
      </c>
      <c r="J12" s="5">
        <v>0.409078446</v>
      </c>
      <c r="K12" s="5">
        <v>0.838534110249285</v>
      </c>
      <c r="L12" s="6">
        <v>1.77913365807104e+18</v>
      </c>
      <c r="M12" s="5">
        <v>0.83125</v>
      </c>
      <c r="N12" s="6">
        <v>1.77913365899339e+18</v>
      </c>
      <c r="O12" s="6">
        <v>1.77913363103264e+18</v>
      </c>
      <c r="P12" s="5">
        <v>26.293647307</v>
      </c>
      <c r="Q12" s="5">
        <v>0.25</v>
      </c>
      <c r="R12" s="5">
        <v>6</v>
      </c>
      <c r="S12" s="5" t="s">
        <v>145</v>
      </c>
      <c r="T12" s="5" t="s">
        <v>146</v>
      </c>
      <c r="U12" s="5" t="b">
        <v>0</v>
      </c>
      <c r="V12" s="5">
        <v>25</v>
      </c>
      <c r="W12" s="5">
        <v>0</v>
      </c>
      <c r="X12" s="5">
        <v>10</v>
      </c>
      <c r="Y12" s="5">
        <v>8</v>
      </c>
      <c r="Z12" s="5" t="b">
        <v>0</v>
      </c>
      <c r="AA12" s="5">
        <v>4</v>
      </c>
      <c r="AB12" s="5" t="b">
        <v>0</v>
      </c>
      <c r="AC12" s="5" t="b">
        <v>0</v>
      </c>
      <c r="AD12" s="5" t="s">
        <v>147</v>
      </c>
      <c r="AE12" s="5" t="s">
        <v>274</v>
      </c>
      <c r="AF12" s="5">
        <v>1</v>
      </c>
      <c r="AG12" s="5" t="b">
        <v>0</v>
      </c>
      <c r="AH12" s="5" t="b">
        <v>0</v>
      </c>
      <c r="AI12" s="5" t="s">
        <v>149</v>
      </c>
      <c r="AJ12" s="5">
        <v>3</v>
      </c>
      <c r="AK12" s="5" t="b">
        <v>0</v>
      </c>
      <c r="AL12" s="5">
        <v>8</v>
      </c>
      <c r="AM12" s="5">
        <v>0</v>
      </c>
      <c r="AN12" s="5">
        <v>0</v>
      </c>
      <c r="AO12" s="5" t="b">
        <v>0</v>
      </c>
      <c r="AP12" s="5">
        <v>0.001</v>
      </c>
      <c r="AQ12" s="5">
        <v>256</v>
      </c>
      <c r="AR12" s="5" t="b">
        <v>1</v>
      </c>
      <c r="AS12" s="5">
        <v>1</v>
      </c>
      <c r="AT12" s="5">
        <v>3</v>
      </c>
      <c r="AU12" s="5">
        <v>0.1</v>
      </c>
      <c r="AV12" s="5">
        <v>0.1</v>
      </c>
      <c r="AW12" s="5" t="b">
        <v>0</v>
      </c>
      <c r="AX12" s="5">
        <v>32</v>
      </c>
      <c r="AY12" s="5">
        <v>2026</v>
      </c>
      <c r="AZ12" s="5">
        <v>1</v>
      </c>
      <c r="BA12" s="5">
        <v>16</v>
      </c>
      <c r="BB12" s="5" t="s">
        <v>275</v>
      </c>
      <c r="BC12" s="5" t="s">
        <v>151</v>
      </c>
      <c r="BD12" s="5">
        <v>10</v>
      </c>
      <c r="BE12" s="5" t="b">
        <v>0</v>
      </c>
      <c r="BF12" s="5" t="s">
        <v>152</v>
      </c>
      <c r="BG12" s="5" t="s">
        <v>276</v>
      </c>
      <c r="BH12" s="5">
        <v>0</v>
      </c>
      <c r="BI12" s="5" t="s">
        <v>154</v>
      </c>
      <c r="BJ12" s="5">
        <v>2</v>
      </c>
      <c r="BK12" s="5"/>
      <c r="BL12" s="5" t="b">
        <v>0</v>
      </c>
      <c r="BM12" s="5">
        <v>0</v>
      </c>
      <c r="BN12" s="5">
        <v>0</v>
      </c>
      <c r="BO12" s="5" t="s">
        <v>155</v>
      </c>
      <c r="BP12" s="5">
        <v>128</v>
      </c>
      <c r="BQ12" s="5" t="s">
        <v>156</v>
      </c>
      <c r="BR12" s="5">
        <v>2</v>
      </c>
      <c r="BS12" s="5" t="s">
        <v>157</v>
      </c>
      <c r="BT12" s="5">
        <v>0</v>
      </c>
      <c r="BU12" s="5">
        <v>96</v>
      </c>
      <c r="BV12" s="5" t="b">
        <v>0</v>
      </c>
      <c r="BW12" s="5">
        <v>1000</v>
      </c>
      <c r="BX12" s="5">
        <v>0.3</v>
      </c>
      <c r="BY12" s="5" t="b">
        <v>0</v>
      </c>
      <c r="BZ12" s="5" t="s">
        <v>277</v>
      </c>
      <c r="CA12" s="5" t="s">
        <v>14</v>
      </c>
      <c r="CB12" s="5" t="s">
        <v>278</v>
      </c>
      <c r="CC12" s="5" t="s">
        <v>160</v>
      </c>
      <c r="CD12" s="5">
        <v>315</v>
      </c>
      <c r="CE12" s="5">
        <v>32</v>
      </c>
      <c r="CF12" s="5" t="b">
        <v>0</v>
      </c>
      <c r="CG12" s="5" t="s">
        <v>161</v>
      </c>
      <c r="CH12" s="5">
        <v>48</v>
      </c>
      <c r="CI12" s="5">
        <v>1</v>
      </c>
      <c r="CJ12" s="5">
        <v>0.25</v>
      </c>
      <c r="CK12" s="5">
        <v>7</v>
      </c>
      <c r="CL12" s="5" t="s">
        <v>279</v>
      </c>
      <c r="CM12" s="5">
        <v>7</v>
      </c>
      <c r="CN12" s="5" t="s">
        <v>163</v>
      </c>
      <c r="CO12" s="5">
        <v>0</v>
      </c>
      <c r="CP12" s="5" t="s">
        <v>280</v>
      </c>
      <c r="CQ12" s="5" t="s">
        <v>164</v>
      </c>
      <c r="CR12" s="5" t="s">
        <v>276</v>
      </c>
      <c r="CS12" s="5">
        <v>3</v>
      </c>
      <c r="CT12" s="5" t="b">
        <v>0</v>
      </c>
      <c r="CU12" s="5" t="s">
        <v>165</v>
      </c>
      <c r="CV12" s="5" t="b">
        <v>1</v>
      </c>
      <c r="CW12" s="5" t="b">
        <v>0</v>
      </c>
      <c r="CX12" s="5">
        <v>1</v>
      </c>
      <c r="CY12" s="5">
        <v>2</v>
      </c>
      <c r="CZ12" s="5" t="b">
        <v>0</v>
      </c>
      <c r="DA12" s="5" t="b">
        <v>0</v>
      </c>
      <c r="DB12" s="5" t="b">
        <v>0</v>
      </c>
      <c r="DC12" s="5" t="s">
        <v>166</v>
      </c>
      <c r="DD12" s="5" t="s">
        <v>167</v>
      </c>
      <c r="DE12" s="5" t="s">
        <v>168</v>
      </c>
      <c r="DF12" s="5">
        <v>0.5</v>
      </c>
      <c r="DG12" s="5">
        <v>10</v>
      </c>
      <c r="DH12" s="5">
        <v>0.3</v>
      </c>
      <c r="DI12" s="5">
        <v>1</v>
      </c>
      <c r="DJ12" s="5">
        <v>1</v>
      </c>
      <c r="DK12" s="5" t="s">
        <v>169</v>
      </c>
      <c r="DL12" s="5" t="b">
        <v>0</v>
      </c>
      <c r="DM12" s="5">
        <v>32</v>
      </c>
      <c r="DN12" s="5">
        <v>1</v>
      </c>
      <c r="DO12" s="5" t="s">
        <v>170</v>
      </c>
      <c r="DP12" s="5" t="s">
        <v>278</v>
      </c>
      <c r="DQ12" s="5" t="s">
        <v>171</v>
      </c>
      <c r="DR12" s="5" t="s">
        <v>172</v>
      </c>
      <c r="DS12" s="7" t="str">
        <f>_xlfn.XLOOKUP(CP12,datasetmap!B:B,datasetmap!A:A)</f>
        <v>UWG</v>
      </c>
      <c r="DT12" s="8">
        <f t="shared" si="0"/>
        <v>0.922280192</v>
      </c>
    </row>
    <row r="13" ht="17.6" spans="1:124">
      <c r="A13" s="5" t="s">
        <v>281</v>
      </c>
      <c r="B13" s="5">
        <v>32</v>
      </c>
      <c r="C13" s="5" t="s">
        <v>141</v>
      </c>
      <c r="D13" s="5" t="s">
        <v>282</v>
      </c>
      <c r="E13" s="5" t="s">
        <v>283</v>
      </c>
      <c r="F13" s="5" t="s">
        <v>284</v>
      </c>
      <c r="G13" s="6">
        <v>1.77913360295925e+18</v>
      </c>
      <c r="H13" s="5">
        <v>0.982853030267448</v>
      </c>
      <c r="I13" s="5">
        <v>0.982717096148637</v>
      </c>
      <c r="J13" s="5">
        <v>0.645646868</v>
      </c>
      <c r="K13" s="5">
        <v>0.982853030267448</v>
      </c>
      <c r="L13" s="6">
        <v>1.77913360295919e+18</v>
      </c>
      <c r="M13" s="5">
        <v>0.982719417917235</v>
      </c>
      <c r="N13" s="6">
        <v>1.77913360895139e+18</v>
      </c>
      <c r="O13" s="6">
        <v>1.77913349956986e+18</v>
      </c>
      <c r="P13" s="5">
        <v>77.973668322</v>
      </c>
      <c r="Q13" s="5">
        <v>0.25</v>
      </c>
      <c r="R13" s="5">
        <v>6</v>
      </c>
      <c r="S13" s="5" t="s">
        <v>145</v>
      </c>
      <c r="T13" s="5" t="s">
        <v>146</v>
      </c>
      <c r="U13" s="5" t="b">
        <v>0</v>
      </c>
      <c r="V13" s="5">
        <v>25</v>
      </c>
      <c r="W13" s="5">
        <v>0</v>
      </c>
      <c r="X13" s="5">
        <v>10</v>
      </c>
      <c r="Y13" s="5">
        <v>8</v>
      </c>
      <c r="Z13" s="5" t="b">
        <v>0</v>
      </c>
      <c r="AA13" s="5">
        <v>4</v>
      </c>
      <c r="AB13" s="5" t="b">
        <v>0</v>
      </c>
      <c r="AC13" s="5" t="b">
        <v>0</v>
      </c>
      <c r="AD13" s="5" t="s">
        <v>147</v>
      </c>
      <c r="AE13" s="5" t="s">
        <v>285</v>
      </c>
      <c r="AF13" s="5">
        <v>1</v>
      </c>
      <c r="AG13" s="5" t="b">
        <v>0</v>
      </c>
      <c r="AH13" s="5" t="b">
        <v>0</v>
      </c>
      <c r="AI13" s="5" t="s">
        <v>149</v>
      </c>
      <c r="AJ13" s="5">
        <v>3</v>
      </c>
      <c r="AK13" s="5" t="b">
        <v>0</v>
      </c>
      <c r="AL13" s="5">
        <v>10</v>
      </c>
      <c r="AM13" s="5">
        <v>0</v>
      </c>
      <c r="AN13" s="5">
        <v>0</v>
      </c>
      <c r="AO13" s="5" t="b">
        <v>0</v>
      </c>
      <c r="AP13" s="5">
        <v>0.001</v>
      </c>
      <c r="AQ13" s="5">
        <v>256</v>
      </c>
      <c r="AR13" s="5" t="b">
        <v>1</v>
      </c>
      <c r="AS13" s="5">
        <v>1</v>
      </c>
      <c r="AT13" s="5">
        <v>3</v>
      </c>
      <c r="AU13" s="5">
        <v>0.1</v>
      </c>
      <c r="AV13" s="5">
        <v>0.1</v>
      </c>
      <c r="AW13" s="5" t="b">
        <v>0</v>
      </c>
      <c r="AX13" s="5">
        <v>32</v>
      </c>
      <c r="AY13" s="5">
        <v>1234</v>
      </c>
      <c r="AZ13" s="5">
        <v>1</v>
      </c>
      <c r="BA13" s="5">
        <v>16</v>
      </c>
      <c r="BB13" s="5" t="s">
        <v>178</v>
      </c>
      <c r="BC13" s="5" t="s">
        <v>151</v>
      </c>
      <c r="BD13" s="5">
        <v>10</v>
      </c>
      <c r="BE13" s="5" t="b">
        <v>0</v>
      </c>
      <c r="BF13" s="5" t="s">
        <v>152</v>
      </c>
      <c r="BG13" s="5" t="s">
        <v>286</v>
      </c>
      <c r="BH13" s="5">
        <v>0</v>
      </c>
      <c r="BI13" s="5" t="s">
        <v>154</v>
      </c>
      <c r="BJ13" s="5">
        <v>2</v>
      </c>
      <c r="BK13" s="5"/>
      <c r="BL13" s="5" t="b">
        <v>0</v>
      </c>
      <c r="BM13" s="5">
        <v>0</v>
      </c>
      <c r="BN13" s="5">
        <v>0</v>
      </c>
      <c r="BO13" s="5" t="s">
        <v>155</v>
      </c>
      <c r="BP13" s="5">
        <v>128</v>
      </c>
      <c r="BQ13" s="5" t="s">
        <v>156</v>
      </c>
      <c r="BR13" s="5">
        <v>2</v>
      </c>
      <c r="BS13" s="5" t="s">
        <v>157</v>
      </c>
      <c r="BT13" s="5">
        <v>0</v>
      </c>
      <c r="BU13" s="5">
        <v>96</v>
      </c>
      <c r="BV13" s="5" t="b">
        <v>0</v>
      </c>
      <c r="BW13" s="5">
        <v>1000</v>
      </c>
      <c r="BX13" s="5">
        <v>0.3</v>
      </c>
      <c r="BY13" s="5" t="b">
        <v>0</v>
      </c>
      <c r="BZ13" s="5" t="s">
        <v>287</v>
      </c>
      <c r="CA13" s="5" t="s">
        <v>14</v>
      </c>
      <c r="CB13" s="5" t="s">
        <v>288</v>
      </c>
      <c r="CC13" s="5" t="s">
        <v>160</v>
      </c>
      <c r="CD13" s="5">
        <v>93</v>
      </c>
      <c r="CE13" s="5">
        <v>32</v>
      </c>
      <c r="CF13" s="5" t="b">
        <v>0</v>
      </c>
      <c r="CG13" s="5" t="s">
        <v>161</v>
      </c>
      <c r="CH13" s="5">
        <v>48</v>
      </c>
      <c r="CI13" s="5">
        <v>1</v>
      </c>
      <c r="CJ13" s="5">
        <v>0.25</v>
      </c>
      <c r="CK13" s="5">
        <v>7</v>
      </c>
      <c r="CL13" s="5" t="s">
        <v>289</v>
      </c>
      <c r="CM13" s="5">
        <v>7</v>
      </c>
      <c r="CN13" s="5" t="s">
        <v>163</v>
      </c>
      <c r="CO13" s="5">
        <v>0</v>
      </c>
      <c r="CP13" s="5" t="s">
        <v>183</v>
      </c>
      <c r="CQ13" s="5" t="s">
        <v>164</v>
      </c>
      <c r="CR13" s="5" t="s">
        <v>286</v>
      </c>
      <c r="CS13" s="5">
        <v>13</v>
      </c>
      <c r="CT13" s="5" t="b">
        <v>0</v>
      </c>
      <c r="CU13" s="5" t="s">
        <v>165</v>
      </c>
      <c r="CV13" s="5" t="b">
        <v>1</v>
      </c>
      <c r="CW13" s="5" t="b">
        <v>0</v>
      </c>
      <c r="CX13" s="5">
        <v>1</v>
      </c>
      <c r="CY13" s="5">
        <v>2</v>
      </c>
      <c r="CZ13" s="5" t="b">
        <v>0</v>
      </c>
      <c r="DA13" s="5" t="b">
        <v>0</v>
      </c>
      <c r="DB13" s="5" t="b">
        <v>0</v>
      </c>
      <c r="DC13" s="5" t="s">
        <v>166</v>
      </c>
      <c r="DD13" s="5" t="s">
        <v>167</v>
      </c>
      <c r="DE13" s="5" t="s">
        <v>168</v>
      </c>
      <c r="DF13" s="5">
        <v>0.5</v>
      </c>
      <c r="DG13" s="5">
        <v>10</v>
      </c>
      <c r="DH13" s="5">
        <v>0.3</v>
      </c>
      <c r="DI13" s="5">
        <v>1</v>
      </c>
      <c r="DJ13" s="5">
        <v>1</v>
      </c>
      <c r="DK13" s="5" t="s">
        <v>169</v>
      </c>
      <c r="DL13" s="5" t="b">
        <v>0</v>
      </c>
      <c r="DM13" s="5">
        <v>32</v>
      </c>
      <c r="DN13" s="5">
        <v>1</v>
      </c>
      <c r="DO13" s="5" t="s">
        <v>170</v>
      </c>
      <c r="DP13" s="5" t="s">
        <v>288</v>
      </c>
      <c r="DQ13" s="5" t="s">
        <v>171</v>
      </c>
      <c r="DR13" s="5" t="s">
        <v>172</v>
      </c>
      <c r="DS13" s="7" t="str">
        <f>_xlfn.XLOOKUP(CP13,datasetmap!B:B,datasetmap!A:A)</f>
        <v>SAD</v>
      </c>
      <c r="DT13" s="8">
        <f t="shared" si="0"/>
        <v>5.992140032</v>
      </c>
    </row>
    <row r="14" ht="17.6" spans="1:124">
      <c r="A14" s="5" t="s">
        <v>290</v>
      </c>
      <c r="B14" s="5">
        <v>32</v>
      </c>
      <c r="C14" s="5" t="s">
        <v>141</v>
      </c>
      <c r="D14" s="5" t="s">
        <v>291</v>
      </c>
      <c r="E14" s="5" t="s">
        <v>292</v>
      </c>
      <c r="F14" s="5" t="s">
        <v>293</v>
      </c>
      <c r="G14" s="6">
        <v>1.77913346428888e+18</v>
      </c>
      <c r="H14" s="5">
        <v>0.657253304396239</v>
      </c>
      <c r="I14" s="5">
        <v>0.65718287383243</v>
      </c>
      <c r="J14" s="5">
        <v>1.908799946</v>
      </c>
      <c r="K14" s="5">
        <v>0.657253304396239</v>
      </c>
      <c r="L14" s="6">
        <v>1.77913346428882e+18</v>
      </c>
      <c r="M14" s="5">
        <v>0.657207718501702</v>
      </c>
      <c r="N14" s="6">
        <v>1.77913354444574e+18</v>
      </c>
      <c r="O14" s="6">
        <v>1.77913296335866e+18</v>
      </c>
      <c r="P14" s="5">
        <v>210.827361604</v>
      </c>
      <c r="Q14" s="5">
        <v>0.25</v>
      </c>
      <c r="R14" s="5">
        <v>6</v>
      </c>
      <c r="S14" s="5" t="s">
        <v>145</v>
      </c>
      <c r="T14" s="5" t="s">
        <v>146</v>
      </c>
      <c r="U14" s="5" t="b">
        <v>0</v>
      </c>
      <c r="V14" s="5">
        <v>25</v>
      </c>
      <c r="W14" s="5">
        <v>0</v>
      </c>
      <c r="X14" s="5">
        <v>10</v>
      </c>
      <c r="Y14" s="5">
        <v>8</v>
      </c>
      <c r="Z14" s="5" t="b">
        <v>0</v>
      </c>
      <c r="AA14" s="5">
        <v>4</v>
      </c>
      <c r="AB14" s="5" t="b">
        <v>0</v>
      </c>
      <c r="AC14" s="5" t="b">
        <v>0</v>
      </c>
      <c r="AD14" s="5" t="s">
        <v>147</v>
      </c>
      <c r="AE14" s="5" t="s">
        <v>294</v>
      </c>
      <c r="AF14" s="5">
        <v>1</v>
      </c>
      <c r="AG14" s="5" t="b">
        <v>0</v>
      </c>
      <c r="AH14" s="5" t="b">
        <v>0</v>
      </c>
      <c r="AI14" s="5" t="s">
        <v>149</v>
      </c>
      <c r="AJ14" s="5">
        <v>3</v>
      </c>
      <c r="AK14" s="5" t="b">
        <v>0</v>
      </c>
      <c r="AL14" s="5">
        <v>2</v>
      </c>
      <c r="AM14" s="5">
        <v>0</v>
      </c>
      <c r="AN14" s="5">
        <v>0</v>
      </c>
      <c r="AO14" s="5" t="b">
        <v>0</v>
      </c>
      <c r="AP14" s="5">
        <v>0.001</v>
      </c>
      <c r="AQ14" s="5">
        <v>256</v>
      </c>
      <c r="AR14" s="5" t="b">
        <v>1</v>
      </c>
      <c r="AS14" s="5">
        <v>1</v>
      </c>
      <c r="AT14" s="5">
        <v>3</v>
      </c>
      <c r="AU14" s="5">
        <v>0.1</v>
      </c>
      <c r="AV14" s="5">
        <v>0.1</v>
      </c>
      <c r="AW14" s="5" t="b">
        <v>0</v>
      </c>
      <c r="AX14" s="5">
        <v>32</v>
      </c>
      <c r="AY14" s="5">
        <v>1234</v>
      </c>
      <c r="AZ14" s="5">
        <v>1</v>
      </c>
      <c r="BA14" s="5">
        <v>16</v>
      </c>
      <c r="BB14" s="5" t="s">
        <v>189</v>
      </c>
      <c r="BC14" s="5" t="s">
        <v>151</v>
      </c>
      <c r="BD14" s="5">
        <v>10</v>
      </c>
      <c r="BE14" s="5" t="b">
        <v>0</v>
      </c>
      <c r="BF14" s="5" t="s">
        <v>152</v>
      </c>
      <c r="BG14" s="5" t="s">
        <v>295</v>
      </c>
      <c r="BH14" s="5">
        <v>0</v>
      </c>
      <c r="BI14" s="5" t="s">
        <v>154</v>
      </c>
      <c r="BJ14" s="5">
        <v>2</v>
      </c>
      <c r="BK14" s="5"/>
      <c r="BL14" s="5" t="b">
        <v>0</v>
      </c>
      <c r="BM14" s="5">
        <v>0</v>
      </c>
      <c r="BN14" s="5">
        <v>0</v>
      </c>
      <c r="BO14" s="5" t="s">
        <v>155</v>
      </c>
      <c r="BP14" s="5">
        <v>128</v>
      </c>
      <c r="BQ14" s="5" t="s">
        <v>156</v>
      </c>
      <c r="BR14" s="5">
        <v>2</v>
      </c>
      <c r="BS14" s="5" t="s">
        <v>157</v>
      </c>
      <c r="BT14" s="5">
        <v>0</v>
      </c>
      <c r="BU14" s="5">
        <v>96</v>
      </c>
      <c r="BV14" s="5" t="b">
        <v>0</v>
      </c>
      <c r="BW14" s="5">
        <v>1000</v>
      </c>
      <c r="BX14" s="5">
        <v>0.3</v>
      </c>
      <c r="BY14" s="5" t="b">
        <v>0</v>
      </c>
      <c r="BZ14" s="5" t="s">
        <v>296</v>
      </c>
      <c r="CA14" s="5" t="s">
        <v>14</v>
      </c>
      <c r="CB14" s="5" t="s">
        <v>297</v>
      </c>
      <c r="CC14" s="5" t="s">
        <v>160</v>
      </c>
      <c r="CD14" s="5">
        <v>62</v>
      </c>
      <c r="CE14" s="5">
        <v>32</v>
      </c>
      <c r="CF14" s="5" t="b">
        <v>0</v>
      </c>
      <c r="CG14" s="5" t="s">
        <v>161</v>
      </c>
      <c r="CH14" s="5">
        <v>48</v>
      </c>
      <c r="CI14" s="5">
        <v>1</v>
      </c>
      <c r="CJ14" s="5">
        <v>0.25</v>
      </c>
      <c r="CK14" s="5">
        <v>7</v>
      </c>
      <c r="CL14" s="5" t="s">
        <v>298</v>
      </c>
      <c r="CM14" s="5">
        <v>7</v>
      </c>
      <c r="CN14" s="5" t="s">
        <v>163</v>
      </c>
      <c r="CO14" s="5">
        <v>0</v>
      </c>
      <c r="CP14" s="5" t="s">
        <v>194</v>
      </c>
      <c r="CQ14" s="5" t="s">
        <v>164</v>
      </c>
      <c r="CR14" s="5" t="s">
        <v>295</v>
      </c>
      <c r="CS14" s="5">
        <v>144</v>
      </c>
      <c r="CT14" s="5" t="b">
        <v>0</v>
      </c>
      <c r="CU14" s="5" t="s">
        <v>165</v>
      </c>
      <c r="CV14" s="5" t="b">
        <v>1</v>
      </c>
      <c r="CW14" s="5" t="b">
        <v>0</v>
      </c>
      <c r="CX14" s="5">
        <v>1</v>
      </c>
      <c r="CY14" s="5">
        <v>2</v>
      </c>
      <c r="CZ14" s="5" t="b">
        <v>0</v>
      </c>
      <c r="DA14" s="5" t="b">
        <v>0</v>
      </c>
      <c r="DB14" s="5" t="b">
        <v>0</v>
      </c>
      <c r="DC14" s="5" t="s">
        <v>166</v>
      </c>
      <c r="DD14" s="5" t="s">
        <v>167</v>
      </c>
      <c r="DE14" s="5" t="s">
        <v>168</v>
      </c>
      <c r="DF14" s="5">
        <v>0.5</v>
      </c>
      <c r="DG14" s="5">
        <v>10</v>
      </c>
      <c r="DH14" s="5">
        <v>0.3</v>
      </c>
      <c r="DI14" s="5">
        <v>1</v>
      </c>
      <c r="DJ14" s="5">
        <v>1</v>
      </c>
      <c r="DK14" s="5" t="s">
        <v>169</v>
      </c>
      <c r="DL14" s="5" t="b">
        <v>0</v>
      </c>
      <c r="DM14" s="5">
        <v>32</v>
      </c>
      <c r="DN14" s="5">
        <v>1</v>
      </c>
      <c r="DO14" s="5" t="s">
        <v>170</v>
      </c>
      <c r="DP14" s="5" t="s">
        <v>297</v>
      </c>
      <c r="DQ14" s="5" t="s">
        <v>171</v>
      </c>
      <c r="DR14" s="5" t="s">
        <v>172</v>
      </c>
      <c r="DS14" s="7" t="str">
        <f>_xlfn.XLOOKUP(CP14,datasetmap!B:B,datasetmap!A:A)</f>
        <v>FD</v>
      </c>
      <c r="DT14" s="8">
        <f t="shared" si="0"/>
        <v>80.156859904</v>
      </c>
    </row>
    <row r="15" ht="17.6" spans="1:124">
      <c r="A15" s="5" t="s">
        <v>299</v>
      </c>
      <c r="B15" s="5">
        <v>32</v>
      </c>
      <c r="C15" s="5" t="s">
        <v>141</v>
      </c>
      <c r="D15" s="5" t="s">
        <v>300</v>
      </c>
      <c r="E15" s="5" t="s">
        <v>301</v>
      </c>
      <c r="F15" s="5" t="s">
        <v>302</v>
      </c>
      <c r="G15" s="6">
        <v>1.77913345045628e+18</v>
      </c>
      <c r="H15" s="5">
        <v>0.572951739618406</v>
      </c>
      <c r="I15" s="5">
        <v>0.571150097465887</v>
      </c>
      <c r="J15" s="5">
        <v>0.823638832</v>
      </c>
      <c r="K15" s="5">
        <v>0.572951739618406</v>
      </c>
      <c r="L15" s="6">
        <v>1.77913345045622e+18</v>
      </c>
      <c r="M15" s="5">
        <v>0.572222222222222</v>
      </c>
      <c r="N15" s="6">
        <v>1.77913345196266e+18</v>
      </c>
      <c r="O15" s="6">
        <v>1.77913341366319e+18</v>
      </c>
      <c r="P15" s="5">
        <v>34.467537469</v>
      </c>
      <c r="Q15" s="5">
        <v>0.25</v>
      </c>
      <c r="R15" s="5">
        <v>6</v>
      </c>
      <c r="S15" s="5" t="s">
        <v>145</v>
      </c>
      <c r="T15" s="5" t="s">
        <v>146</v>
      </c>
      <c r="U15" s="5" t="b">
        <v>0</v>
      </c>
      <c r="V15" s="5">
        <v>25</v>
      </c>
      <c r="W15" s="5">
        <v>0</v>
      </c>
      <c r="X15" s="5">
        <v>10</v>
      </c>
      <c r="Y15" s="5">
        <v>8</v>
      </c>
      <c r="Z15" s="5" t="b">
        <v>0</v>
      </c>
      <c r="AA15" s="5">
        <v>4</v>
      </c>
      <c r="AB15" s="5" t="b">
        <v>0</v>
      </c>
      <c r="AC15" s="5" t="b">
        <v>0</v>
      </c>
      <c r="AD15" s="5" t="s">
        <v>147</v>
      </c>
      <c r="AE15" s="5" t="s">
        <v>303</v>
      </c>
      <c r="AF15" s="5">
        <v>1</v>
      </c>
      <c r="AG15" s="5" t="b">
        <v>0</v>
      </c>
      <c r="AH15" s="5" t="b">
        <v>0</v>
      </c>
      <c r="AI15" s="5" t="s">
        <v>149</v>
      </c>
      <c r="AJ15" s="5">
        <v>3</v>
      </c>
      <c r="AK15" s="5" t="b">
        <v>0</v>
      </c>
      <c r="AL15" s="5">
        <v>2</v>
      </c>
      <c r="AM15" s="5">
        <v>0</v>
      </c>
      <c r="AN15" s="5">
        <v>0</v>
      </c>
      <c r="AO15" s="5" t="b">
        <v>0</v>
      </c>
      <c r="AP15" s="5">
        <v>0.001</v>
      </c>
      <c r="AQ15" s="5">
        <v>256</v>
      </c>
      <c r="AR15" s="5" t="b">
        <v>1</v>
      </c>
      <c r="AS15" s="5">
        <v>1</v>
      </c>
      <c r="AT15" s="5">
        <v>3</v>
      </c>
      <c r="AU15" s="5">
        <v>0.1</v>
      </c>
      <c r="AV15" s="5">
        <v>0.1</v>
      </c>
      <c r="AW15" s="5" t="b">
        <v>0</v>
      </c>
      <c r="AX15" s="5">
        <v>32</v>
      </c>
      <c r="AY15" s="5">
        <v>1234</v>
      </c>
      <c r="AZ15" s="5">
        <v>1</v>
      </c>
      <c r="BA15" s="5">
        <v>16</v>
      </c>
      <c r="BB15" s="5" t="s">
        <v>200</v>
      </c>
      <c r="BC15" s="5" t="s">
        <v>151</v>
      </c>
      <c r="BD15" s="5">
        <v>10</v>
      </c>
      <c r="BE15" s="5" t="b">
        <v>0</v>
      </c>
      <c r="BF15" s="5" t="s">
        <v>152</v>
      </c>
      <c r="BG15" s="5" t="s">
        <v>304</v>
      </c>
      <c r="BH15" s="5">
        <v>0</v>
      </c>
      <c r="BI15" s="5" t="s">
        <v>154</v>
      </c>
      <c r="BJ15" s="5">
        <v>2</v>
      </c>
      <c r="BK15" s="5"/>
      <c r="BL15" s="5" t="b">
        <v>0</v>
      </c>
      <c r="BM15" s="5">
        <v>0</v>
      </c>
      <c r="BN15" s="5">
        <v>0</v>
      </c>
      <c r="BO15" s="5" t="s">
        <v>155</v>
      </c>
      <c r="BP15" s="5">
        <v>128</v>
      </c>
      <c r="BQ15" s="5" t="s">
        <v>156</v>
      </c>
      <c r="BR15" s="5">
        <v>2</v>
      </c>
      <c r="BS15" s="5" t="s">
        <v>157</v>
      </c>
      <c r="BT15" s="5">
        <v>0</v>
      </c>
      <c r="BU15" s="5">
        <v>96</v>
      </c>
      <c r="BV15" s="5" t="b">
        <v>0</v>
      </c>
      <c r="BW15" s="5">
        <v>1000</v>
      </c>
      <c r="BX15" s="5">
        <v>0.3</v>
      </c>
      <c r="BY15" s="5" t="b">
        <v>0</v>
      </c>
      <c r="BZ15" s="5" t="s">
        <v>305</v>
      </c>
      <c r="CA15" s="5" t="s">
        <v>14</v>
      </c>
      <c r="CB15" s="5" t="s">
        <v>306</v>
      </c>
      <c r="CC15" s="5" t="s">
        <v>160</v>
      </c>
      <c r="CD15" s="5">
        <v>1152</v>
      </c>
      <c r="CE15" s="5">
        <v>32</v>
      </c>
      <c r="CF15" s="5" t="b">
        <v>0</v>
      </c>
      <c r="CG15" s="5" t="s">
        <v>161</v>
      </c>
      <c r="CH15" s="5">
        <v>48</v>
      </c>
      <c r="CI15" s="5">
        <v>1</v>
      </c>
      <c r="CJ15" s="5">
        <v>0.25</v>
      </c>
      <c r="CK15" s="5">
        <v>7</v>
      </c>
      <c r="CL15" s="5" t="s">
        <v>307</v>
      </c>
      <c r="CM15" s="5">
        <v>7</v>
      </c>
      <c r="CN15" s="5" t="s">
        <v>163</v>
      </c>
      <c r="CO15" s="5">
        <v>0</v>
      </c>
      <c r="CP15" s="5" t="s">
        <v>205</v>
      </c>
      <c r="CQ15" s="5" t="s">
        <v>164</v>
      </c>
      <c r="CR15" s="5" t="s">
        <v>304</v>
      </c>
      <c r="CS15" s="5">
        <v>7</v>
      </c>
      <c r="CT15" s="5" t="b">
        <v>0</v>
      </c>
      <c r="CU15" s="5" t="s">
        <v>165</v>
      </c>
      <c r="CV15" s="5" t="b">
        <v>1</v>
      </c>
      <c r="CW15" s="5" t="b">
        <v>0</v>
      </c>
      <c r="CX15" s="5">
        <v>1</v>
      </c>
      <c r="CY15" s="5">
        <v>2</v>
      </c>
      <c r="CZ15" s="5" t="b">
        <v>0</v>
      </c>
      <c r="DA15" s="5" t="b">
        <v>0</v>
      </c>
      <c r="DB15" s="5" t="b">
        <v>0</v>
      </c>
      <c r="DC15" s="5" t="s">
        <v>166</v>
      </c>
      <c r="DD15" s="5" t="s">
        <v>167</v>
      </c>
      <c r="DE15" s="5" t="s">
        <v>168</v>
      </c>
      <c r="DF15" s="5">
        <v>0.5</v>
      </c>
      <c r="DG15" s="5">
        <v>10</v>
      </c>
      <c r="DH15" s="5">
        <v>0.3</v>
      </c>
      <c r="DI15" s="5">
        <v>1</v>
      </c>
      <c r="DJ15" s="5">
        <v>1</v>
      </c>
      <c r="DK15" s="5" t="s">
        <v>169</v>
      </c>
      <c r="DL15" s="5" t="b">
        <v>0</v>
      </c>
      <c r="DM15" s="5">
        <v>32</v>
      </c>
      <c r="DN15" s="5">
        <v>1</v>
      </c>
      <c r="DO15" s="5" t="s">
        <v>170</v>
      </c>
      <c r="DP15" s="5" t="s">
        <v>306</v>
      </c>
      <c r="DQ15" s="5" t="s">
        <v>171</v>
      </c>
      <c r="DR15" s="5" t="s">
        <v>172</v>
      </c>
      <c r="DS15" s="7" t="str">
        <f>_xlfn.XLOOKUP(CP15,datasetmap!B:B,datasetmap!A:A)</f>
        <v>SRS2</v>
      </c>
      <c r="DT15" s="8">
        <f t="shared" si="0"/>
        <v>1.506380032</v>
      </c>
    </row>
    <row r="16" ht="17.6" spans="1:124">
      <c r="A16" s="5" t="s">
        <v>308</v>
      </c>
      <c r="B16" s="5">
        <v>32</v>
      </c>
      <c r="C16" s="5" t="s">
        <v>141</v>
      </c>
      <c r="D16" s="5" t="s">
        <v>309</v>
      </c>
      <c r="E16" s="5" t="s">
        <v>310</v>
      </c>
      <c r="F16" s="5" t="s">
        <v>311</v>
      </c>
      <c r="G16" s="6">
        <v>1.77913338048809e+18</v>
      </c>
      <c r="H16" s="5">
        <v>0.824655459261103</v>
      </c>
      <c r="I16" s="5">
        <v>0.822202464603588</v>
      </c>
      <c r="J16" s="5">
        <v>0.53214139</v>
      </c>
      <c r="K16" s="5">
        <v>0.824655459261103</v>
      </c>
      <c r="L16" s="6">
        <v>1.77913338048797e+18</v>
      </c>
      <c r="M16" s="5">
        <v>0.822525597269624</v>
      </c>
      <c r="N16" s="6">
        <v>1.77913338185851e+18</v>
      </c>
      <c r="O16" s="6">
        <v>1.77913333677848e+18</v>
      </c>
      <c r="P16" s="5">
        <v>41.035646044</v>
      </c>
      <c r="Q16" s="5">
        <v>0.25</v>
      </c>
      <c r="R16" s="5">
        <v>6</v>
      </c>
      <c r="S16" s="5" t="s">
        <v>145</v>
      </c>
      <c r="T16" s="5" t="s">
        <v>146</v>
      </c>
      <c r="U16" s="5" t="b">
        <v>0</v>
      </c>
      <c r="V16" s="5">
        <v>25</v>
      </c>
      <c r="W16" s="5">
        <v>0</v>
      </c>
      <c r="X16" s="5">
        <v>10</v>
      </c>
      <c r="Y16" s="5">
        <v>8</v>
      </c>
      <c r="Z16" s="5" t="b">
        <v>0</v>
      </c>
      <c r="AA16" s="5">
        <v>4</v>
      </c>
      <c r="AB16" s="5" t="b">
        <v>0</v>
      </c>
      <c r="AC16" s="5" t="b">
        <v>0</v>
      </c>
      <c r="AD16" s="5" t="s">
        <v>147</v>
      </c>
      <c r="AE16" s="5" t="s">
        <v>312</v>
      </c>
      <c r="AF16" s="5">
        <v>1</v>
      </c>
      <c r="AG16" s="5" t="b">
        <v>0</v>
      </c>
      <c r="AH16" s="5" t="b">
        <v>0</v>
      </c>
      <c r="AI16" s="5" t="s">
        <v>149</v>
      </c>
      <c r="AJ16" s="5">
        <v>3</v>
      </c>
      <c r="AK16" s="5" t="b">
        <v>0</v>
      </c>
      <c r="AL16" s="5">
        <v>2</v>
      </c>
      <c r="AM16" s="5">
        <v>0</v>
      </c>
      <c r="AN16" s="5">
        <v>0</v>
      </c>
      <c r="AO16" s="5" t="b">
        <v>0</v>
      </c>
      <c r="AP16" s="5">
        <v>0.001</v>
      </c>
      <c r="AQ16" s="5">
        <v>256</v>
      </c>
      <c r="AR16" s="5" t="b">
        <v>1</v>
      </c>
      <c r="AS16" s="5">
        <v>1</v>
      </c>
      <c r="AT16" s="5">
        <v>3</v>
      </c>
      <c r="AU16" s="5">
        <v>0.1</v>
      </c>
      <c r="AV16" s="5">
        <v>0.1</v>
      </c>
      <c r="AW16" s="5" t="b">
        <v>0</v>
      </c>
      <c r="AX16" s="5">
        <v>32</v>
      </c>
      <c r="AY16" s="5">
        <v>1234</v>
      </c>
      <c r="AZ16" s="5">
        <v>1</v>
      </c>
      <c r="BA16" s="5">
        <v>16</v>
      </c>
      <c r="BB16" s="5" t="s">
        <v>211</v>
      </c>
      <c r="BC16" s="5" t="s">
        <v>151</v>
      </c>
      <c r="BD16" s="5">
        <v>10</v>
      </c>
      <c r="BE16" s="5" t="b">
        <v>0</v>
      </c>
      <c r="BF16" s="5" t="s">
        <v>152</v>
      </c>
      <c r="BG16" s="5" t="s">
        <v>313</v>
      </c>
      <c r="BH16" s="5">
        <v>0</v>
      </c>
      <c r="BI16" s="5" t="s">
        <v>154</v>
      </c>
      <c r="BJ16" s="5">
        <v>2</v>
      </c>
      <c r="BK16" s="5"/>
      <c r="BL16" s="5" t="b">
        <v>0</v>
      </c>
      <c r="BM16" s="5">
        <v>0</v>
      </c>
      <c r="BN16" s="5">
        <v>0</v>
      </c>
      <c r="BO16" s="5" t="s">
        <v>155</v>
      </c>
      <c r="BP16" s="5">
        <v>128</v>
      </c>
      <c r="BQ16" s="5" t="s">
        <v>156</v>
      </c>
      <c r="BR16" s="5">
        <v>2</v>
      </c>
      <c r="BS16" s="5" t="s">
        <v>157</v>
      </c>
      <c r="BT16" s="5">
        <v>0</v>
      </c>
      <c r="BU16" s="5">
        <v>96</v>
      </c>
      <c r="BV16" s="5" t="b">
        <v>0</v>
      </c>
      <c r="BW16" s="5">
        <v>1000</v>
      </c>
      <c r="BX16" s="5">
        <v>0.3</v>
      </c>
      <c r="BY16" s="5" t="b">
        <v>0</v>
      </c>
      <c r="BZ16" s="5" t="s">
        <v>314</v>
      </c>
      <c r="CA16" s="5" t="s">
        <v>14</v>
      </c>
      <c r="CB16" s="5" t="s">
        <v>315</v>
      </c>
      <c r="CC16" s="5" t="s">
        <v>160</v>
      </c>
      <c r="CD16" s="5">
        <v>896</v>
      </c>
      <c r="CE16" s="5">
        <v>32</v>
      </c>
      <c r="CF16" s="5" t="b">
        <v>0</v>
      </c>
      <c r="CG16" s="5" t="s">
        <v>161</v>
      </c>
      <c r="CH16" s="5">
        <v>48</v>
      </c>
      <c r="CI16" s="5">
        <v>1</v>
      </c>
      <c r="CJ16" s="5">
        <v>0.25</v>
      </c>
      <c r="CK16" s="5">
        <v>7</v>
      </c>
      <c r="CL16" s="5" t="s">
        <v>316</v>
      </c>
      <c r="CM16" s="5">
        <v>7</v>
      </c>
      <c r="CN16" s="5" t="s">
        <v>163</v>
      </c>
      <c r="CO16" s="5">
        <v>0</v>
      </c>
      <c r="CP16" s="5" t="s">
        <v>216</v>
      </c>
      <c r="CQ16" s="5" t="s">
        <v>164</v>
      </c>
      <c r="CR16" s="5" t="s">
        <v>313</v>
      </c>
      <c r="CS16" s="5">
        <v>6</v>
      </c>
      <c r="CT16" s="5" t="b">
        <v>0</v>
      </c>
      <c r="CU16" s="5" t="s">
        <v>165</v>
      </c>
      <c r="CV16" s="5" t="b">
        <v>1</v>
      </c>
      <c r="CW16" s="5" t="b">
        <v>0</v>
      </c>
      <c r="CX16" s="5">
        <v>1</v>
      </c>
      <c r="CY16" s="5">
        <v>2</v>
      </c>
      <c r="CZ16" s="5" t="b">
        <v>0</v>
      </c>
      <c r="DA16" s="5" t="b">
        <v>0</v>
      </c>
      <c r="DB16" s="5" t="b">
        <v>0</v>
      </c>
      <c r="DC16" s="5" t="s">
        <v>166</v>
      </c>
      <c r="DD16" s="5" t="s">
        <v>167</v>
      </c>
      <c r="DE16" s="5" t="s">
        <v>168</v>
      </c>
      <c r="DF16" s="5">
        <v>0.5</v>
      </c>
      <c r="DG16" s="5">
        <v>10</v>
      </c>
      <c r="DH16" s="5">
        <v>0.3</v>
      </c>
      <c r="DI16" s="5">
        <v>1</v>
      </c>
      <c r="DJ16" s="5">
        <v>1</v>
      </c>
      <c r="DK16" s="5" t="s">
        <v>169</v>
      </c>
      <c r="DL16" s="5" t="b">
        <v>0</v>
      </c>
      <c r="DM16" s="5">
        <v>32</v>
      </c>
      <c r="DN16" s="5">
        <v>1</v>
      </c>
      <c r="DO16" s="5" t="s">
        <v>170</v>
      </c>
      <c r="DP16" s="5" t="s">
        <v>315</v>
      </c>
      <c r="DQ16" s="5" t="s">
        <v>171</v>
      </c>
      <c r="DR16" s="5" t="s">
        <v>172</v>
      </c>
      <c r="DS16" s="7" t="str">
        <f>_xlfn.XLOOKUP(CP16,datasetmap!B:B,datasetmap!A:A)</f>
        <v>SRS1</v>
      </c>
      <c r="DT16" s="8">
        <f t="shared" si="0"/>
        <v>1.370419968</v>
      </c>
    </row>
    <row r="17" ht="17.6" spans="1:124">
      <c r="A17" s="5" t="s">
        <v>317</v>
      </c>
      <c r="B17" s="5">
        <v>32</v>
      </c>
      <c r="C17" s="5" t="s">
        <v>141</v>
      </c>
      <c r="D17" s="5" t="s">
        <v>318</v>
      </c>
      <c r="E17" s="5" t="s">
        <v>319</v>
      </c>
      <c r="F17" s="5" t="s">
        <v>320</v>
      </c>
      <c r="G17" s="6">
        <v>1.77913331052236e+18</v>
      </c>
      <c r="H17" s="5">
        <v>0.961041009927637</v>
      </c>
      <c r="I17" s="5">
        <v>0.959699220643083</v>
      </c>
      <c r="J17" s="5">
        <v>0.452680734</v>
      </c>
      <c r="K17" s="5">
        <v>0.961041009927637</v>
      </c>
      <c r="L17" s="6">
        <v>1.7791333105223e+18</v>
      </c>
      <c r="M17" s="5">
        <v>0.959459459459459</v>
      </c>
      <c r="N17" s="6">
        <v>1.77913331178119e+18</v>
      </c>
      <c r="O17" s="6">
        <v>1.7791332461809e+18</v>
      </c>
      <c r="P17" s="5">
        <v>62.007513577</v>
      </c>
      <c r="Q17" s="5">
        <v>0.25</v>
      </c>
      <c r="R17" s="5">
        <v>6</v>
      </c>
      <c r="S17" s="5" t="s">
        <v>145</v>
      </c>
      <c r="T17" s="5" t="s">
        <v>146</v>
      </c>
      <c r="U17" s="5" t="b">
        <v>0</v>
      </c>
      <c r="V17" s="5">
        <v>25</v>
      </c>
      <c r="W17" s="5">
        <v>0</v>
      </c>
      <c r="X17" s="5">
        <v>10</v>
      </c>
      <c r="Y17" s="5">
        <v>8</v>
      </c>
      <c r="Z17" s="5" t="b">
        <v>0</v>
      </c>
      <c r="AA17" s="5">
        <v>4</v>
      </c>
      <c r="AB17" s="5" t="b">
        <v>0</v>
      </c>
      <c r="AC17" s="5" t="b">
        <v>0</v>
      </c>
      <c r="AD17" s="5" t="s">
        <v>147</v>
      </c>
      <c r="AE17" s="5" t="s">
        <v>321</v>
      </c>
      <c r="AF17" s="5">
        <v>1</v>
      </c>
      <c r="AG17" s="5" t="b">
        <v>0</v>
      </c>
      <c r="AH17" s="5" t="b">
        <v>0</v>
      </c>
      <c r="AI17" s="5" t="s">
        <v>149</v>
      </c>
      <c r="AJ17" s="5">
        <v>3</v>
      </c>
      <c r="AK17" s="5" t="b">
        <v>0</v>
      </c>
      <c r="AL17" s="5">
        <v>9</v>
      </c>
      <c r="AM17" s="5">
        <v>0</v>
      </c>
      <c r="AN17" s="5">
        <v>0</v>
      </c>
      <c r="AO17" s="5" t="b">
        <v>0</v>
      </c>
      <c r="AP17" s="5">
        <v>0.001</v>
      </c>
      <c r="AQ17" s="5">
        <v>256</v>
      </c>
      <c r="AR17" s="5" t="b">
        <v>1</v>
      </c>
      <c r="AS17" s="5">
        <v>1</v>
      </c>
      <c r="AT17" s="5">
        <v>3</v>
      </c>
      <c r="AU17" s="5">
        <v>0.1</v>
      </c>
      <c r="AV17" s="5">
        <v>0.1</v>
      </c>
      <c r="AW17" s="5" t="b">
        <v>0</v>
      </c>
      <c r="AX17" s="5">
        <v>32</v>
      </c>
      <c r="AY17" s="5">
        <v>1234</v>
      </c>
      <c r="AZ17" s="5">
        <v>1</v>
      </c>
      <c r="BA17" s="5">
        <v>16</v>
      </c>
      <c r="BB17" s="5" t="s">
        <v>222</v>
      </c>
      <c r="BC17" s="5" t="s">
        <v>151</v>
      </c>
      <c r="BD17" s="5">
        <v>10</v>
      </c>
      <c r="BE17" s="5" t="b">
        <v>0</v>
      </c>
      <c r="BF17" s="5" t="s">
        <v>152</v>
      </c>
      <c r="BG17" s="5" t="s">
        <v>322</v>
      </c>
      <c r="BH17" s="5">
        <v>0</v>
      </c>
      <c r="BI17" s="5" t="s">
        <v>154</v>
      </c>
      <c r="BJ17" s="5">
        <v>2</v>
      </c>
      <c r="BK17" s="5"/>
      <c r="BL17" s="5" t="b">
        <v>0</v>
      </c>
      <c r="BM17" s="5">
        <v>0</v>
      </c>
      <c r="BN17" s="5">
        <v>0</v>
      </c>
      <c r="BO17" s="5" t="s">
        <v>155</v>
      </c>
      <c r="BP17" s="5">
        <v>128</v>
      </c>
      <c r="BQ17" s="5" t="s">
        <v>156</v>
      </c>
      <c r="BR17" s="5">
        <v>2</v>
      </c>
      <c r="BS17" s="5" t="s">
        <v>157</v>
      </c>
      <c r="BT17" s="5">
        <v>0</v>
      </c>
      <c r="BU17" s="5">
        <v>96</v>
      </c>
      <c r="BV17" s="5" t="b">
        <v>0</v>
      </c>
      <c r="BW17" s="5">
        <v>1000</v>
      </c>
      <c r="BX17" s="5">
        <v>0.3</v>
      </c>
      <c r="BY17" s="5" t="b">
        <v>0</v>
      </c>
      <c r="BZ17" s="5" t="s">
        <v>323</v>
      </c>
      <c r="CA17" s="5" t="s">
        <v>14</v>
      </c>
      <c r="CB17" s="5" t="s">
        <v>324</v>
      </c>
      <c r="CC17" s="5" t="s">
        <v>160</v>
      </c>
      <c r="CD17" s="5">
        <v>29</v>
      </c>
      <c r="CE17" s="5">
        <v>32</v>
      </c>
      <c r="CF17" s="5" t="b">
        <v>0</v>
      </c>
      <c r="CG17" s="5" t="s">
        <v>161</v>
      </c>
      <c r="CH17" s="5">
        <v>48</v>
      </c>
      <c r="CI17" s="5">
        <v>1</v>
      </c>
      <c r="CJ17" s="5">
        <v>0.25</v>
      </c>
      <c r="CK17" s="5">
        <v>7</v>
      </c>
      <c r="CL17" s="5" t="s">
        <v>325</v>
      </c>
      <c r="CM17" s="5">
        <v>7</v>
      </c>
      <c r="CN17" s="5" t="s">
        <v>163</v>
      </c>
      <c r="CO17" s="5">
        <v>0</v>
      </c>
      <c r="CP17" s="5" t="s">
        <v>227</v>
      </c>
      <c r="CQ17" s="5" t="s">
        <v>164</v>
      </c>
      <c r="CR17" s="5" t="s">
        <v>322</v>
      </c>
      <c r="CS17" s="5">
        <v>12</v>
      </c>
      <c r="CT17" s="5" t="b">
        <v>0</v>
      </c>
      <c r="CU17" s="5" t="s">
        <v>165</v>
      </c>
      <c r="CV17" s="5" t="b">
        <v>1</v>
      </c>
      <c r="CW17" s="5" t="b">
        <v>0</v>
      </c>
      <c r="CX17" s="5">
        <v>1</v>
      </c>
      <c r="CY17" s="5">
        <v>2</v>
      </c>
      <c r="CZ17" s="5" t="b">
        <v>0</v>
      </c>
      <c r="DA17" s="5" t="b">
        <v>0</v>
      </c>
      <c r="DB17" s="5" t="b">
        <v>0</v>
      </c>
      <c r="DC17" s="5" t="s">
        <v>166</v>
      </c>
      <c r="DD17" s="5" t="s">
        <v>167</v>
      </c>
      <c r="DE17" s="5" t="s">
        <v>168</v>
      </c>
      <c r="DF17" s="5">
        <v>0.5</v>
      </c>
      <c r="DG17" s="5">
        <v>10</v>
      </c>
      <c r="DH17" s="5">
        <v>0.3</v>
      </c>
      <c r="DI17" s="5">
        <v>1</v>
      </c>
      <c r="DJ17" s="5">
        <v>1</v>
      </c>
      <c r="DK17" s="5" t="s">
        <v>169</v>
      </c>
      <c r="DL17" s="5" t="b">
        <v>0</v>
      </c>
      <c r="DM17" s="5">
        <v>32</v>
      </c>
      <c r="DN17" s="5">
        <v>1</v>
      </c>
      <c r="DO17" s="5" t="s">
        <v>170</v>
      </c>
      <c r="DP17" s="5" t="s">
        <v>324</v>
      </c>
      <c r="DQ17" s="5" t="s">
        <v>171</v>
      </c>
      <c r="DR17" s="5" t="s">
        <v>172</v>
      </c>
      <c r="DS17" s="7" t="str">
        <f>_xlfn.XLOOKUP(CP17,datasetmap!B:B,datasetmap!A:A)</f>
        <v>JV</v>
      </c>
      <c r="DT17" s="8">
        <f t="shared" si="0"/>
        <v>1.258829824</v>
      </c>
    </row>
    <row r="18" ht="17.6" spans="1:124">
      <c r="A18" s="5" t="s">
        <v>326</v>
      </c>
      <c r="B18" s="5">
        <v>32</v>
      </c>
      <c r="C18" s="5" t="s">
        <v>141</v>
      </c>
      <c r="D18" s="5" t="s">
        <v>327</v>
      </c>
      <c r="E18" s="5" t="s">
        <v>328</v>
      </c>
      <c r="F18" s="5" t="s">
        <v>329</v>
      </c>
      <c r="G18" s="6">
        <v>1.77913321289959e+18</v>
      </c>
      <c r="H18" s="5">
        <v>0.64650406504065</v>
      </c>
      <c r="I18" s="5">
        <v>0.655242318656952</v>
      </c>
      <c r="J18" s="5">
        <v>0.578743964</v>
      </c>
      <c r="K18" s="5">
        <v>0.64650406504065</v>
      </c>
      <c r="L18" s="6">
        <v>1.77913321289951e+18</v>
      </c>
      <c r="M18" s="5">
        <v>0.668292682926829</v>
      </c>
      <c r="N18" s="6">
        <v>1.77913321704571e+18</v>
      </c>
      <c r="O18" s="6">
        <v>1.77913317681229e+18</v>
      </c>
      <c r="P18" s="5">
        <v>25.659465454</v>
      </c>
      <c r="Q18" s="5">
        <v>0.25</v>
      </c>
      <c r="R18" s="5">
        <v>6</v>
      </c>
      <c r="S18" s="5" t="s">
        <v>145</v>
      </c>
      <c r="T18" s="5" t="s">
        <v>146</v>
      </c>
      <c r="U18" s="5" t="b">
        <v>0</v>
      </c>
      <c r="V18" s="5">
        <v>25</v>
      </c>
      <c r="W18" s="5">
        <v>0</v>
      </c>
      <c r="X18" s="5">
        <v>10</v>
      </c>
      <c r="Y18" s="5">
        <v>8</v>
      </c>
      <c r="Z18" s="5" t="b">
        <v>0</v>
      </c>
      <c r="AA18" s="5">
        <v>4</v>
      </c>
      <c r="AB18" s="5" t="b">
        <v>0</v>
      </c>
      <c r="AC18" s="5" t="b">
        <v>0</v>
      </c>
      <c r="AD18" s="5" t="s">
        <v>147</v>
      </c>
      <c r="AE18" s="5" t="s">
        <v>330</v>
      </c>
      <c r="AF18" s="5">
        <v>1</v>
      </c>
      <c r="AG18" s="5" t="b">
        <v>0</v>
      </c>
      <c r="AH18" s="5" t="b">
        <v>0</v>
      </c>
      <c r="AI18" s="5" t="s">
        <v>149</v>
      </c>
      <c r="AJ18" s="5">
        <v>3</v>
      </c>
      <c r="AK18" s="5" t="b">
        <v>0</v>
      </c>
      <c r="AL18" s="5">
        <v>2</v>
      </c>
      <c r="AM18" s="5">
        <v>0</v>
      </c>
      <c r="AN18" s="5">
        <v>0</v>
      </c>
      <c r="AO18" s="5" t="b">
        <v>0</v>
      </c>
      <c r="AP18" s="5">
        <v>0.001</v>
      </c>
      <c r="AQ18" s="5">
        <v>256</v>
      </c>
      <c r="AR18" s="5" t="b">
        <v>1</v>
      </c>
      <c r="AS18" s="5">
        <v>1</v>
      </c>
      <c r="AT18" s="5">
        <v>3</v>
      </c>
      <c r="AU18" s="5">
        <v>0.1</v>
      </c>
      <c r="AV18" s="5">
        <v>0.1</v>
      </c>
      <c r="AW18" s="5" t="b">
        <v>0</v>
      </c>
      <c r="AX18" s="5">
        <v>32</v>
      </c>
      <c r="AY18" s="5">
        <v>1234</v>
      </c>
      <c r="AZ18" s="5">
        <v>1</v>
      </c>
      <c r="BA18" s="5">
        <v>16</v>
      </c>
      <c r="BB18" s="5" t="s">
        <v>233</v>
      </c>
      <c r="BC18" s="5" t="s">
        <v>151</v>
      </c>
      <c r="BD18" s="5">
        <v>10</v>
      </c>
      <c r="BE18" s="5" t="b">
        <v>0</v>
      </c>
      <c r="BF18" s="5" t="s">
        <v>152</v>
      </c>
      <c r="BG18" s="5" t="s">
        <v>331</v>
      </c>
      <c r="BH18" s="5">
        <v>0</v>
      </c>
      <c r="BI18" s="5" t="s">
        <v>154</v>
      </c>
      <c r="BJ18" s="5">
        <v>2</v>
      </c>
      <c r="BK18" s="5"/>
      <c r="BL18" s="5" t="b">
        <v>0</v>
      </c>
      <c r="BM18" s="5">
        <v>0</v>
      </c>
      <c r="BN18" s="5">
        <v>0</v>
      </c>
      <c r="BO18" s="5" t="s">
        <v>155</v>
      </c>
      <c r="BP18" s="5">
        <v>128</v>
      </c>
      <c r="BQ18" s="5" t="s">
        <v>156</v>
      </c>
      <c r="BR18" s="5">
        <v>2</v>
      </c>
      <c r="BS18" s="5" t="s">
        <v>157</v>
      </c>
      <c r="BT18" s="5">
        <v>0</v>
      </c>
      <c r="BU18" s="5">
        <v>96</v>
      </c>
      <c r="BV18" s="5" t="b">
        <v>0</v>
      </c>
      <c r="BW18" s="5">
        <v>1000</v>
      </c>
      <c r="BX18" s="5">
        <v>0.3</v>
      </c>
      <c r="BY18" s="5" t="b">
        <v>0</v>
      </c>
      <c r="BZ18" s="5" t="s">
        <v>332</v>
      </c>
      <c r="CA18" s="5" t="s">
        <v>14</v>
      </c>
      <c r="CB18" s="5" t="s">
        <v>333</v>
      </c>
      <c r="CC18" s="5" t="s">
        <v>160</v>
      </c>
      <c r="CD18" s="5">
        <v>405</v>
      </c>
      <c r="CE18" s="5">
        <v>32</v>
      </c>
      <c r="CF18" s="5" t="b">
        <v>0</v>
      </c>
      <c r="CG18" s="5" t="s">
        <v>161</v>
      </c>
      <c r="CH18" s="5">
        <v>48</v>
      </c>
      <c r="CI18" s="5">
        <v>1</v>
      </c>
      <c r="CJ18" s="5">
        <v>0.25</v>
      </c>
      <c r="CK18" s="5">
        <v>7</v>
      </c>
      <c r="CL18" s="5" t="s">
        <v>334</v>
      </c>
      <c r="CM18" s="5">
        <v>7</v>
      </c>
      <c r="CN18" s="5" t="s">
        <v>163</v>
      </c>
      <c r="CO18" s="5">
        <v>0</v>
      </c>
      <c r="CP18" s="5" t="s">
        <v>238</v>
      </c>
      <c r="CQ18" s="5" t="s">
        <v>164</v>
      </c>
      <c r="CR18" s="5" t="s">
        <v>331</v>
      </c>
      <c r="CS18" s="5">
        <v>61</v>
      </c>
      <c r="CT18" s="5" t="b">
        <v>0</v>
      </c>
      <c r="CU18" s="5" t="s">
        <v>165</v>
      </c>
      <c r="CV18" s="5" t="b">
        <v>1</v>
      </c>
      <c r="CW18" s="5" t="b">
        <v>0</v>
      </c>
      <c r="CX18" s="5">
        <v>1</v>
      </c>
      <c r="CY18" s="5">
        <v>2</v>
      </c>
      <c r="CZ18" s="5" t="b">
        <v>0</v>
      </c>
      <c r="DA18" s="5" t="b">
        <v>0</v>
      </c>
      <c r="DB18" s="5" t="b">
        <v>0</v>
      </c>
      <c r="DC18" s="5" t="s">
        <v>166</v>
      </c>
      <c r="DD18" s="5" t="s">
        <v>167</v>
      </c>
      <c r="DE18" s="5" t="s">
        <v>168</v>
      </c>
      <c r="DF18" s="5">
        <v>0.5</v>
      </c>
      <c r="DG18" s="5">
        <v>10</v>
      </c>
      <c r="DH18" s="5">
        <v>0.3</v>
      </c>
      <c r="DI18" s="5">
        <v>1</v>
      </c>
      <c r="DJ18" s="5">
        <v>1</v>
      </c>
      <c r="DK18" s="5" t="s">
        <v>169</v>
      </c>
      <c r="DL18" s="5" t="b">
        <v>0</v>
      </c>
      <c r="DM18" s="5">
        <v>32</v>
      </c>
      <c r="DN18" s="5">
        <v>1</v>
      </c>
      <c r="DO18" s="5" t="s">
        <v>170</v>
      </c>
      <c r="DP18" s="5" t="s">
        <v>333</v>
      </c>
      <c r="DQ18" s="5" t="s">
        <v>171</v>
      </c>
      <c r="DR18" s="5" t="s">
        <v>172</v>
      </c>
      <c r="DS18" s="7" t="str">
        <f>_xlfn.XLOOKUP(CP18,datasetmap!B:B,datasetmap!A:A)</f>
        <v>HB</v>
      </c>
      <c r="DT18" s="8">
        <f t="shared" si="0"/>
        <v>4.146120192</v>
      </c>
    </row>
    <row r="19" ht="17.6" spans="1:124">
      <c r="A19" s="5" t="s">
        <v>335</v>
      </c>
      <c r="B19" s="5">
        <v>32</v>
      </c>
      <c r="C19" s="5" t="s">
        <v>141</v>
      </c>
      <c r="D19" s="5" t="s">
        <v>336</v>
      </c>
      <c r="E19" s="5" t="s">
        <v>337</v>
      </c>
      <c r="F19" s="5" t="s">
        <v>338</v>
      </c>
      <c r="G19" s="6">
        <v>1.77913313763017e+18</v>
      </c>
      <c r="H19" s="5">
        <v>0.316376470303782</v>
      </c>
      <c r="I19" s="5">
        <v>0.266532702892757</v>
      </c>
      <c r="J19" s="5">
        <v>0.493796636</v>
      </c>
      <c r="K19" s="5">
        <v>0.316376470303782</v>
      </c>
      <c r="L19" s="6">
        <v>1.77913313763009e+18</v>
      </c>
      <c r="M19" s="5">
        <v>0.28</v>
      </c>
      <c r="N19" s="6">
        <v>1.7791331388864e+18</v>
      </c>
      <c r="O19" s="6">
        <v>1.77913306791567e+18</v>
      </c>
      <c r="P19" s="5">
        <v>67.633391904</v>
      </c>
      <c r="Q19" s="5">
        <v>0.25</v>
      </c>
      <c r="R19" s="5">
        <v>6</v>
      </c>
      <c r="S19" s="5" t="s">
        <v>145</v>
      </c>
      <c r="T19" s="5" t="s">
        <v>146</v>
      </c>
      <c r="U19" s="5" t="b">
        <v>0</v>
      </c>
      <c r="V19" s="5">
        <v>25</v>
      </c>
      <c r="W19" s="5">
        <v>0</v>
      </c>
      <c r="X19" s="5">
        <v>10</v>
      </c>
      <c r="Y19" s="5">
        <v>8</v>
      </c>
      <c r="Z19" s="5" t="b">
        <v>0</v>
      </c>
      <c r="AA19" s="5">
        <v>4</v>
      </c>
      <c r="AB19" s="5" t="b">
        <v>0</v>
      </c>
      <c r="AC19" s="5" t="b">
        <v>0</v>
      </c>
      <c r="AD19" s="5" t="s">
        <v>147</v>
      </c>
      <c r="AE19" s="5" t="s">
        <v>339</v>
      </c>
      <c r="AF19" s="5">
        <v>1</v>
      </c>
      <c r="AG19" s="5" t="b">
        <v>0</v>
      </c>
      <c r="AH19" s="5" t="b">
        <v>0</v>
      </c>
      <c r="AI19" s="5" t="s">
        <v>149</v>
      </c>
      <c r="AJ19" s="5">
        <v>3</v>
      </c>
      <c r="AK19" s="5" t="b">
        <v>0</v>
      </c>
      <c r="AL19" s="5">
        <v>26</v>
      </c>
      <c r="AM19" s="5">
        <v>0</v>
      </c>
      <c r="AN19" s="5">
        <v>0</v>
      </c>
      <c r="AO19" s="5" t="b">
        <v>0</v>
      </c>
      <c r="AP19" s="5">
        <v>0.001</v>
      </c>
      <c r="AQ19" s="5">
        <v>256</v>
      </c>
      <c r="AR19" s="5" t="b">
        <v>1</v>
      </c>
      <c r="AS19" s="5">
        <v>1</v>
      </c>
      <c r="AT19" s="5">
        <v>3</v>
      </c>
      <c r="AU19" s="5">
        <v>0.1</v>
      </c>
      <c r="AV19" s="5">
        <v>0.1</v>
      </c>
      <c r="AW19" s="5" t="b">
        <v>0</v>
      </c>
      <c r="AX19" s="5">
        <v>32</v>
      </c>
      <c r="AY19" s="5">
        <v>1234</v>
      </c>
      <c r="AZ19" s="5">
        <v>1</v>
      </c>
      <c r="BA19" s="5">
        <v>16</v>
      </c>
      <c r="BB19" s="5" t="s">
        <v>244</v>
      </c>
      <c r="BC19" s="5" t="s">
        <v>151</v>
      </c>
      <c r="BD19" s="5">
        <v>10</v>
      </c>
      <c r="BE19" s="5" t="b">
        <v>0</v>
      </c>
      <c r="BF19" s="5" t="s">
        <v>152</v>
      </c>
      <c r="BG19" s="5" t="s">
        <v>340</v>
      </c>
      <c r="BH19" s="5">
        <v>0</v>
      </c>
      <c r="BI19" s="5" t="s">
        <v>154</v>
      </c>
      <c r="BJ19" s="5">
        <v>2</v>
      </c>
      <c r="BK19" s="5"/>
      <c r="BL19" s="5" t="b">
        <v>0</v>
      </c>
      <c r="BM19" s="5">
        <v>0</v>
      </c>
      <c r="BN19" s="5">
        <v>0</v>
      </c>
      <c r="BO19" s="5" t="s">
        <v>155</v>
      </c>
      <c r="BP19" s="5">
        <v>128</v>
      </c>
      <c r="BQ19" s="5" t="s">
        <v>156</v>
      </c>
      <c r="BR19" s="5">
        <v>2</v>
      </c>
      <c r="BS19" s="5" t="s">
        <v>157</v>
      </c>
      <c r="BT19" s="5">
        <v>0</v>
      </c>
      <c r="BU19" s="5">
        <v>96</v>
      </c>
      <c r="BV19" s="5" t="b">
        <v>0</v>
      </c>
      <c r="BW19" s="5">
        <v>1000</v>
      </c>
      <c r="BX19" s="5">
        <v>0.3</v>
      </c>
      <c r="BY19" s="5" t="b">
        <v>0</v>
      </c>
      <c r="BZ19" s="5" t="s">
        <v>341</v>
      </c>
      <c r="CA19" s="5" t="s">
        <v>14</v>
      </c>
      <c r="CB19" s="5" t="s">
        <v>342</v>
      </c>
      <c r="CC19" s="5" t="s">
        <v>160</v>
      </c>
      <c r="CD19" s="5">
        <v>152</v>
      </c>
      <c r="CE19" s="5">
        <v>32</v>
      </c>
      <c r="CF19" s="5" t="b">
        <v>0</v>
      </c>
      <c r="CG19" s="5" t="s">
        <v>161</v>
      </c>
      <c r="CH19" s="5">
        <v>48</v>
      </c>
      <c r="CI19" s="5">
        <v>1</v>
      </c>
      <c r="CJ19" s="5">
        <v>0.25</v>
      </c>
      <c r="CK19" s="5">
        <v>7</v>
      </c>
      <c r="CL19" s="5" t="s">
        <v>343</v>
      </c>
      <c r="CM19" s="5">
        <v>7</v>
      </c>
      <c r="CN19" s="5" t="s">
        <v>163</v>
      </c>
      <c r="CO19" s="5">
        <v>0</v>
      </c>
      <c r="CP19" s="5" t="s">
        <v>249</v>
      </c>
      <c r="CQ19" s="5" t="s">
        <v>164</v>
      </c>
      <c r="CR19" s="5" t="s">
        <v>340</v>
      </c>
      <c r="CS19" s="5">
        <v>3</v>
      </c>
      <c r="CT19" s="5" t="b">
        <v>0</v>
      </c>
      <c r="CU19" s="5" t="s">
        <v>165</v>
      </c>
      <c r="CV19" s="5" t="b">
        <v>1</v>
      </c>
      <c r="CW19" s="5" t="b">
        <v>0</v>
      </c>
      <c r="CX19" s="5">
        <v>1</v>
      </c>
      <c r="CY19" s="5">
        <v>2</v>
      </c>
      <c r="CZ19" s="5" t="b">
        <v>0</v>
      </c>
      <c r="DA19" s="5" t="b">
        <v>0</v>
      </c>
      <c r="DB19" s="5" t="b">
        <v>0</v>
      </c>
      <c r="DC19" s="5" t="s">
        <v>166</v>
      </c>
      <c r="DD19" s="5" t="s">
        <v>167</v>
      </c>
      <c r="DE19" s="5" t="s">
        <v>168</v>
      </c>
      <c r="DF19" s="5">
        <v>0.5</v>
      </c>
      <c r="DG19" s="5">
        <v>10</v>
      </c>
      <c r="DH19" s="5">
        <v>0.3</v>
      </c>
      <c r="DI19" s="5">
        <v>1</v>
      </c>
      <c r="DJ19" s="5">
        <v>1</v>
      </c>
      <c r="DK19" s="5" t="s">
        <v>169</v>
      </c>
      <c r="DL19" s="5" t="b">
        <v>0</v>
      </c>
      <c r="DM19" s="5">
        <v>32</v>
      </c>
      <c r="DN19" s="5">
        <v>1</v>
      </c>
      <c r="DO19" s="5" t="s">
        <v>170</v>
      </c>
      <c r="DP19" s="5" t="s">
        <v>342</v>
      </c>
      <c r="DQ19" s="5" t="s">
        <v>171</v>
      </c>
      <c r="DR19" s="5" t="s">
        <v>172</v>
      </c>
      <c r="DS19" s="7" t="str">
        <f>_xlfn.XLOOKUP(CP19,datasetmap!B:B,datasetmap!A:A)</f>
        <v>HW</v>
      </c>
      <c r="DT19" s="8">
        <f t="shared" si="0"/>
        <v>1.256229888</v>
      </c>
    </row>
    <row r="20" ht="17.6" spans="1:124">
      <c r="A20" s="5" t="s">
        <v>344</v>
      </c>
      <c r="B20" s="5">
        <v>32</v>
      </c>
      <c r="C20" s="5" t="s">
        <v>141</v>
      </c>
      <c r="D20" s="5" t="s">
        <v>345</v>
      </c>
      <c r="E20" s="5" t="s">
        <v>346</v>
      </c>
      <c r="F20" s="5" t="s">
        <v>347</v>
      </c>
      <c r="G20" s="6">
        <v>1.77913300560711e+18</v>
      </c>
      <c r="H20" s="5">
        <v>0.873573440047428</v>
      </c>
      <c r="I20" s="5">
        <v>0.849795880505105</v>
      </c>
      <c r="J20" s="5">
        <v>1.519643715</v>
      </c>
      <c r="K20" s="5">
        <v>0.873573440047428</v>
      </c>
      <c r="L20" s="6">
        <v>1.77913300560702e+18</v>
      </c>
      <c r="M20" s="5">
        <v>0.84393063583815</v>
      </c>
      <c r="N20" s="6">
        <v>1.77913303922849e+18</v>
      </c>
      <c r="O20" s="6">
        <v>1.77913259301677e+18</v>
      </c>
      <c r="P20" s="5">
        <v>300.380879652</v>
      </c>
      <c r="Q20" s="5">
        <v>0.25</v>
      </c>
      <c r="R20" s="5">
        <v>6</v>
      </c>
      <c r="S20" s="5" t="s">
        <v>145</v>
      </c>
      <c r="T20" s="5" t="s">
        <v>146</v>
      </c>
      <c r="U20" s="5" t="b">
        <v>0</v>
      </c>
      <c r="V20" s="5">
        <v>25</v>
      </c>
      <c r="W20" s="5">
        <v>0</v>
      </c>
      <c r="X20" s="5">
        <v>10</v>
      </c>
      <c r="Y20" s="5">
        <v>8</v>
      </c>
      <c r="Z20" s="5" t="b">
        <v>0</v>
      </c>
      <c r="AA20" s="5">
        <v>4</v>
      </c>
      <c r="AB20" s="5" t="b">
        <v>0</v>
      </c>
      <c r="AC20" s="5" t="b">
        <v>0</v>
      </c>
      <c r="AD20" s="5" t="s">
        <v>147</v>
      </c>
      <c r="AE20" s="5" t="s">
        <v>348</v>
      </c>
      <c r="AF20" s="5">
        <v>1</v>
      </c>
      <c r="AG20" s="5" t="b">
        <v>0</v>
      </c>
      <c r="AH20" s="5" t="b">
        <v>0</v>
      </c>
      <c r="AI20" s="5" t="s">
        <v>149</v>
      </c>
      <c r="AJ20" s="5">
        <v>3</v>
      </c>
      <c r="AK20" s="5" t="b">
        <v>0</v>
      </c>
      <c r="AL20" s="5">
        <v>7</v>
      </c>
      <c r="AM20" s="5">
        <v>0</v>
      </c>
      <c r="AN20" s="5">
        <v>0</v>
      </c>
      <c r="AO20" s="5" t="b">
        <v>0</v>
      </c>
      <c r="AP20" s="5">
        <v>0.001</v>
      </c>
      <c r="AQ20" s="5">
        <v>256</v>
      </c>
      <c r="AR20" s="5" t="b">
        <v>1</v>
      </c>
      <c r="AS20" s="5">
        <v>1</v>
      </c>
      <c r="AT20" s="5">
        <v>3</v>
      </c>
      <c r="AU20" s="5">
        <v>0.1</v>
      </c>
      <c r="AV20" s="5">
        <v>0.1</v>
      </c>
      <c r="AW20" s="5" t="b">
        <v>0</v>
      </c>
      <c r="AX20" s="5">
        <v>32</v>
      </c>
      <c r="AY20" s="5">
        <v>123</v>
      </c>
      <c r="AZ20" s="5">
        <v>1</v>
      </c>
      <c r="BA20" s="5">
        <v>16</v>
      </c>
      <c r="BB20" s="5" t="s">
        <v>150</v>
      </c>
      <c r="BC20" s="5" t="s">
        <v>151</v>
      </c>
      <c r="BD20" s="5">
        <v>10</v>
      </c>
      <c r="BE20" s="5" t="b">
        <v>0</v>
      </c>
      <c r="BF20" s="5" t="s">
        <v>152</v>
      </c>
      <c r="BG20" s="5" t="s">
        <v>349</v>
      </c>
      <c r="BH20" s="5">
        <v>0</v>
      </c>
      <c r="BI20" s="5" t="s">
        <v>154</v>
      </c>
      <c r="BJ20" s="5">
        <v>2</v>
      </c>
      <c r="BK20" s="5"/>
      <c r="BL20" s="5" t="b">
        <v>0</v>
      </c>
      <c r="BM20" s="5">
        <v>0</v>
      </c>
      <c r="BN20" s="5">
        <v>0</v>
      </c>
      <c r="BO20" s="5" t="s">
        <v>155</v>
      </c>
      <c r="BP20" s="5">
        <v>128</v>
      </c>
      <c r="BQ20" s="5" t="s">
        <v>156</v>
      </c>
      <c r="BR20" s="5">
        <v>2</v>
      </c>
      <c r="BS20" s="5" t="s">
        <v>157</v>
      </c>
      <c r="BT20" s="5">
        <v>0</v>
      </c>
      <c r="BU20" s="5">
        <v>96</v>
      </c>
      <c r="BV20" s="5" t="b">
        <v>0</v>
      </c>
      <c r="BW20" s="5">
        <v>1000</v>
      </c>
      <c r="BX20" s="5">
        <v>0.3</v>
      </c>
      <c r="BY20" s="5" t="b">
        <v>0</v>
      </c>
      <c r="BZ20" s="5" t="s">
        <v>350</v>
      </c>
      <c r="CA20" s="5" t="s">
        <v>14</v>
      </c>
      <c r="CB20" s="5" t="s">
        <v>351</v>
      </c>
      <c r="CC20" s="5" t="s">
        <v>160</v>
      </c>
      <c r="CD20" s="5">
        <v>144</v>
      </c>
      <c r="CE20" s="5">
        <v>32</v>
      </c>
      <c r="CF20" s="5" t="b">
        <v>0</v>
      </c>
      <c r="CG20" s="5" t="s">
        <v>161</v>
      </c>
      <c r="CH20" s="5">
        <v>48</v>
      </c>
      <c r="CI20" s="5">
        <v>1</v>
      </c>
      <c r="CJ20" s="5">
        <v>0.25</v>
      </c>
      <c r="CK20" s="5">
        <v>7</v>
      </c>
      <c r="CL20" s="5" t="s">
        <v>352</v>
      </c>
      <c r="CM20" s="5">
        <v>7</v>
      </c>
      <c r="CN20" s="5" t="s">
        <v>163</v>
      </c>
      <c r="CO20" s="5">
        <v>0</v>
      </c>
      <c r="CP20" s="5" t="s">
        <v>8</v>
      </c>
      <c r="CQ20" s="5" t="s">
        <v>164</v>
      </c>
      <c r="CR20" s="5" t="s">
        <v>349</v>
      </c>
      <c r="CS20" s="5">
        <v>963</v>
      </c>
      <c r="CT20" s="5" t="b">
        <v>0</v>
      </c>
      <c r="CU20" s="5" t="s">
        <v>165</v>
      </c>
      <c r="CV20" s="5" t="b">
        <v>1</v>
      </c>
      <c r="CW20" s="5" t="b">
        <v>0</v>
      </c>
      <c r="CX20" s="5">
        <v>1</v>
      </c>
      <c r="CY20" s="5">
        <v>2</v>
      </c>
      <c r="CZ20" s="5" t="b">
        <v>0</v>
      </c>
      <c r="DA20" s="5" t="b">
        <v>0</v>
      </c>
      <c r="DB20" s="5" t="b">
        <v>0</v>
      </c>
      <c r="DC20" s="5" t="s">
        <v>166</v>
      </c>
      <c r="DD20" s="5" t="s">
        <v>167</v>
      </c>
      <c r="DE20" s="5" t="s">
        <v>168</v>
      </c>
      <c r="DF20" s="5">
        <v>0.5</v>
      </c>
      <c r="DG20" s="5">
        <v>10</v>
      </c>
      <c r="DH20" s="5">
        <v>0.3</v>
      </c>
      <c r="DI20" s="5">
        <v>1</v>
      </c>
      <c r="DJ20" s="5">
        <v>1</v>
      </c>
      <c r="DK20" s="5" t="s">
        <v>169</v>
      </c>
      <c r="DL20" s="5" t="b">
        <v>0</v>
      </c>
      <c r="DM20" s="5">
        <v>32</v>
      </c>
      <c r="DN20" s="5">
        <v>1</v>
      </c>
      <c r="DO20" s="5" t="s">
        <v>170</v>
      </c>
      <c r="DP20" s="5" t="s">
        <v>351</v>
      </c>
      <c r="DQ20" s="5" t="s">
        <v>171</v>
      </c>
      <c r="DR20" s="5" t="s">
        <v>172</v>
      </c>
      <c r="DS20" s="7" t="str">
        <f>_xlfn.XLOOKUP(CP20,datasetmap!B:B,datasetmap!A:A)</f>
        <v>PEMS-SF</v>
      </c>
      <c r="DT20" s="8">
        <f t="shared" si="0"/>
        <v>33.621380096</v>
      </c>
    </row>
    <row r="21" ht="17.6" spans="1:124">
      <c r="A21" s="5" t="s">
        <v>353</v>
      </c>
      <c r="B21" s="5">
        <v>32</v>
      </c>
      <c r="C21" s="5" t="s">
        <v>141</v>
      </c>
      <c r="D21" s="5" t="s">
        <v>354</v>
      </c>
      <c r="E21" s="5" t="s">
        <v>355</v>
      </c>
      <c r="F21" s="5" t="s">
        <v>356</v>
      </c>
      <c r="G21" s="6">
        <v>1.77913255077116e+18</v>
      </c>
      <c r="H21" s="5">
        <v>0.226785408114895</v>
      </c>
      <c r="I21" s="5">
        <v>0.228739985029929</v>
      </c>
      <c r="J21" s="5">
        <v>1.001500007</v>
      </c>
      <c r="K21" s="5">
        <v>0.226785408114895</v>
      </c>
      <c r="L21" s="6">
        <v>1.7791325507711e+18</v>
      </c>
      <c r="M21" s="5">
        <v>0.288973384030418</v>
      </c>
      <c r="N21" s="6">
        <v>1.77913255233806e+18</v>
      </c>
      <c r="O21" s="6">
        <v>1.77913248960547e+18</v>
      </c>
      <c r="P21" s="5">
        <v>58.881713853</v>
      </c>
      <c r="Q21" s="5">
        <v>0.25</v>
      </c>
      <c r="R21" s="5">
        <v>6</v>
      </c>
      <c r="S21" s="5" t="s">
        <v>145</v>
      </c>
      <c r="T21" s="5" t="s">
        <v>146</v>
      </c>
      <c r="U21" s="5" t="b">
        <v>0</v>
      </c>
      <c r="V21" s="5">
        <v>25</v>
      </c>
      <c r="W21" s="5">
        <v>0</v>
      </c>
      <c r="X21" s="5">
        <v>10</v>
      </c>
      <c r="Y21" s="5">
        <v>8</v>
      </c>
      <c r="Z21" s="5" t="b">
        <v>0</v>
      </c>
      <c r="AA21" s="5">
        <v>4</v>
      </c>
      <c r="AB21" s="5" t="b">
        <v>0</v>
      </c>
      <c r="AC21" s="5" t="b">
        <v>0</v>
      </c>
      <c r="AD21" s="5" t="s">
        <v>147</v>
      </c>
      <c r="AE21" s="5" t="s">
        <v>357</v>
      </c>
      <c r="AF21" s="5">
        <v>1</v>
      </c>
      <c r="AG21" s="5" t="b">
        <v>0</v>
      </c>
      <c r="AH21" s="5" t="b">
        <v>0</v>
      </c>
      <c r="AI21" s="5" t="s">
        <v>149</v>
      </c>
      <c r="AJ21" s="5">
        <v>3</v>
      </c>
      <c r="AK21" s="5" t="b">
        <v>0</v>
      </c>
      <c r="AL21" s="5">
        <v>4</v>
      </c>
      <c r="AM21" s="5">
        <v>0</v>
      </c>
      <c r="AN21" s="5">
        <v>0</v>
      </c>
      <c r="AO21" s="5" t="b">
        <v>0</v>
      </c>
      <c r="AP21" s="5">
        <v>0.001</v>
      </c>
      <c r="AQ21" s="5">
        <v>256</v>
      </c>
      <c r="AR21" s="5" t="b">
        <v>1</v>
      </c>
      <c r="AS21" s="5">
        <v>1</v>
      </c>
      <c r="AT21" s="5">
        <v>3</v>
      </c>
      <c r="AU21" s="5">
        <v>0.1</v>
      </c>
      <c r="AV21" s="5">
        <v>0.1</v>
      </c>
      <c r="AW21" s="5" t="b">
        <v>0</v>
      </c>
      <c r="AX21" s="5">
        <v>32</v>
      </c>
      <c r="AY21" s="5">
        <v>1234</v>
      </c>
      <c r="AZ21" s="5">
        <v>1</v>
      </c>
      <c r="BA21" s="5">
        <v>16</v>
      </c>
      <c r="BB21" s="5" t="s">
        <v>264</v>
      </c>
      <c r="BC21" s="5" t="s">
        <v>151</v>
      </c>
      <c r="BD21" s="5">
        <v>10</v>
      </c>
      <c r="BE21" s="5" t="b">
        <v>0</v>
      </c>
      <c r="BF21" s="5" t="s">
        <v>152</v>
      </c>
      <c r="BG21" s="5" t="s">
        <v>358</v>
      </c>
      <c r="BH21" s="5">
        <v>0</v>
      </c>
      <c r="BI21" s="5" t="s">
        <v>154</v>
      </c>
      <c r="BJ21" s="5">
        <v>2</v>
      </c>
      <c r="BK21" s="5"/>
      <c r="BL21" s="5" t="b">
        <v>0</v>
      </c>
      <c r="BM21" s="5">
        <v>0</v>
      </c>
      <c r="BN21" s="5">
        <v>0</v>
      </c>
      <c r="BO21" s="5" t="s">
        <v>155</v>
      </c>
      <c r="BP21" s="5">
        <v>128</v>
      </c>
      <c r="BQ21" s="5" t="s">
        <v>156</v>
      </c>
      <c r="BR21" s="5">
        <v>2</v>
      </c>
      <c r="BS21" s="5" t="s">
        <v>157</v>
      </c>
      <c r="BT21" s="5">
        <v>0</v>
      </c>
      <c r="BU21" s="5">
        <v>96</v>
      </c>
      <c r="BV21" s="5" t="b">
        <v>0</v>
      </c>
      <c r="BW21" s="5">
        <v>1000</v>
      </c>
      <c r="BX21" s="5">
        <v>0.3</v>
      </c>
      <c r="BY21" s="5" t="b">
        <v>0</v>
      </c>
      <c r="BZ21" s="5" t="s">
        <v>359</v>
      </c>
      <c r="CA21" s="5" t="s">
        <v>14</v>
      </c>
      <c r="CB21" s="5" t="s">
        <v>360</v>
      </c>
      <c r="CC21" s="5" t="s">
        <v>160</v>
      </c>
      <c r="CD21" s="5">
        <v>1751</v>
      </c>
      <c r="CE21" s="5">
        <v>32</v>
      </c>
      <c r="CF21" s="5" t="b">
        <v>0</v>
      </c>
      <c r="CG21" s="5" t="s">
        <v>161</v>
      </c>
      <c r="CH21" s="5">
        <v>48</v>
      </c>
      <c r="CI21" s="5">
        <v>1</v>
      </c>
      <c r="CJ21" s="5">
        <v>0.25</v>
      </c>
      <c r="CK21" s="5">
        <v>7</v>
      </c>
      <c r="CL21" s="5" t="s">
        <v>361</v>
      </c>
      <c r="CM21" s="5">
        <v>7</v>
      </c>
      <c r="CN21" s="5" t="s">
        <v>163</v>
      </c>
      <c r="CO21" s="5">
        <v>0</v>
      </c>
      <c r="CP21" s="5" t="s">
        <v>269</v>
      </c>
      <c r="CQ21" s="5" t="s">
        <v>164</v>
      </c>
      <c r="CR21" s="5" t="s">
        <v>358</v>
      </c>
      <c r="CS21" s="5">
        <v>3</v>
      </c>
      <c r="CT21" s="5" t="b">
        <v>0</v>
      </c>
      <c r="CU21" s="5" t="s">
        <v>165</v>
      </c>
      <c r="CV21" s="5" t="b">
        <v>1</v>
      </c>
      <c r="CW21" s="5" t="b">
        <v>0</v>
      </c>
      <c r="CX21" s="5">
        <v>1</v>
      </c>
      <c r="CY21" s="5">
        <v>2</v>
      </c>
      <c r="CZ21" s="5" t="b">
        <v>0</v>
      </c>
      <c r="DA21" s="5" t="b">
        <v>0</v>
      </c>
      <c r="DB21" s="5" t="b">
        <v>0</v>
      </c>
      <c r="DC21" s="5" t="s">
        <v>166</v>
      </c>
      <c r="DD21" s="5" t="s">
        <v>167</v>
      </c>
      <c r="DE21" s="5" t="s">
        <v>168</v>
      </c>
      <c r="DF21" s="5">
        <v>0.5</v>
      </c>
      <c r="DG21" s="5">
        <v>10</v>
      </c>
      <c r="DH21" s="5">
        <v>0.3</v>
      </c>
      <c r="DI21" s="5">
        <v>1</v>
      </c>
      <c r="DJ21" s="5">
        <v>1</v>
      </c>
      <c r="DK21" s="5" t="s">
        <v>169</v>
      </c>
      <c r="DL21" s="5" t="b">
        <v>0</v>
      </c>
      <c r="DM21" s="5">
        <v>32</v>
      </c>
      <c r="DN21" s="5">
        <v>1</v>
      </c>
      <c r="DO21" s="5" t="s">
        <v>170</v>
      </c>
      <c r="DP21" s="5" t="s">
        <v>360</v>
      </c>
      <c r="DQ21" s="5" t="s">
        <v>171</v>
      </c>
      <c r="DR21" s="5" t="s">
        <v>172</v>
      </c>
      <c r="DS21" s="7" t="str">
        <f>_xlfn.XLOOKUP(CP21,datasetmap!B:B,datasetmap!A:A)</f>
        <v>EC</v>
      </c>
      <c r="DT21" s="8">
        <f t="shared" si="0"/>
        <v>1.566899968</v>
      </c>
    </row>
    <row r="22" ht="17.6" spans="1:124">
      <c r="A22" s="5" t="s">
        <v>362</v>
      </c>
      <c r="B22" s="5">
        <v>32</v>
      </c>
      <c r="C22" s="5" t="s">
        <v>141</v>
      </c>
      <c r="D22" s="5" t="s">
        <v>363</v>
      </c>
      <c r="E22" s="5" t="s">
        <v>364</v>
      </c>
      <c r="F22" s="5" t="s">
        <v>365</v>
      </c>
      <c r="G22" s="6">
        <v>1.7791324593471e+18</v>
      </c>
      <c r="H22" s="5">
        <v>0.856222293038298</v>
      </c>
      <c r="I22" s="5">
        <v>0.852965790100094</v>
      </c>
      <c r="J22" s="5">
        <v>0.49273485</v>
      </c>
      <c r="K22" s="5">
        <v>0.856222293038298</v>
      </c>
      <c r="L22" s="6">
        <v>1.77913245934703e+18</v>
      </c>
      <c r="M22" s="5">
        <v>0.853125</v>
      </c>
      <c r="N22" s="6">
        <v>1.77913246046794e+18</v>
      </c>
      <c r="O22" s="6">
        <v>1.77913243560674e+18</v>
      </c>
      <c r="P22" s="5">
        <v>22.922927563</v>
      </c>
      <c r="Q22" s="5">
        <v>0.25</v>
      </c>
      <c r="R22" s="5">
        <v>6</v>
      </c>
      <c r="S22" s="5" t="s">
        <v>145</v>
      </c>
      <c r="T22" s="5" t="s">
        <v>146</v>
      </c>
      <c r="U22" s="5" t="b">
        <v>0</v>
      </c>
      <c r="V22" s="5">
        <v>25</v>
      </c>
      <c r="W22" s="5">
        <v>0</v>
      </c>
      <c r="X22" s="5">
        <v>10</v>
      </c>
      <c r="Y22" s="5">
        <v>8</v>
      </c>
      <c r="Z22" s="5" t="b">
        <v>0</v>
      </c>
      <c r="AA22" s="5">
        <v>4</v>
      </c>
      <c r="AB22" s="5" t="b">
        <v>0</v>
      </c>
      <c r="AC22" s="5" t="b">
        <v>0</v>
      </c>
      <c r="AD22" s="5" t="s">
        <v>147</v>
      </c>
      <c r="AE22" s="5" t="s">
        <v>366</v>
      </c>
      <c r="AF22" s="5">
        <v>1</v>
      </c>
      <c r="AG22" s="5" t="b">
        <v>0</v>
      </c>
      <c r="AH22" s="5" t="b">
        <v>0</v>
      </c>
      <c r="AI22" s="5" t="s">
        <v>149</v>
      </c>
      <c r="AJ22" s="5">
        <v>3</v>
      </c>
      <c r="AK22" s="5" t="b">
        <v>0</v>
      </c>
      <c r="AL22" s="5">
        <v>8</v>
      </c>
      <c r="AM22" s="5">
        <v>0</v>
      </c>
      <c r="AN22" s="5">
        <v>0</v>
      </c>
      <c r="AO22" s="5" t="b">
        <v>0</v>
      </c>
      <c r="AP22" s="5">
        <v>0.001</v>
      </c>
      <c r="AQ22" s="5">
        <v>256</v>
      </c>
      <c r="AR22" s="5" t="b">
        <v>1</v>
      </c>
      <c r="AS22" s="5">
        <v>1</v>
      </c>
      <c r="AT22" s="5">
        <v>3</v>
      </c>
      <c r="AU22" s="5">
        <v>0.1</v>
      </c>
      <c r="AV22" s="5">
        <v>0.1</v>
      </c>
      <c r="AW22" s="5" t="b">
        <v>0</v>
      </c>
      <c r="AX22" s="5">
        <v>32</v>
      </c>
      <c r="AY22" s="5">
        <v>1234</v>
      </c>
      <c r="AZ22" s="5">
        <v>1</v>
      </c>
      <c r="BA22" s="5">
        <v>16</v>
      </c>
      <c r="BB22" s="5" t="s">
        <v>275</v>
      </c>
      <c r="BC22" s="5" t="s">
        <v>151</v>
      </c>
      <c r="BD22" s="5">
        <v>10</v>
      </c>
      <c r="BE22" s="5" t="b">
        <v>0</v>
      </c>
      <c r="BF22" s="5" t="s">
        <v>152</v>
      </c>
      <c r="BG22" s="5" t="s">
        <v>367</v>
      </c>
      <c r="BH22" s="5">
        <v>0</v>
      </c>
      <c r="BI22" s="5" t="s">
        <v>154</v>
      </c>
      <c r="BJ22" s="5">
        <v>2</v>
      </c>
      <c r="BK22" s="5"/>
      <c r="BL22" s="5" t="b">
        <v>0</v>
      </c>
      <c r="BM22" s="5">
        <v>0</v>
      </c>
      <c r="BN22" s="5">
        <v>0</v>
      </c>
      <c r="BO22" s="5" t="s">
        <v>155</v>
      </c>
      <c r="BP22" s="5">
        <v>128</v>
      </c>
      <c r="BQ22" s="5" t="s">
        <v>156</v>
      </c>
      <c r="BR22" s="5">
        <v>2</v>
      </c>
      <c r="BS22" s="5" t="s">
        <v>157</v>
      </c>
      <c r="BT22" s="5">
        <v>0</v>
      </c>
      <c r="BU22" s="5">
        <v>96</v>
      </c>
      <c r="BV22" s="5" t="b">
        <v>0</v>
      </c>
      <c r="BW22" s="5">
        <v>1000</v>
      </c>
      <c r="BX22" s="5">
        <v>0.3</v>
      </c>
      <c r="BY22" s="5" t="b">
        <v>0</v>
      </c>
      <c r="BZ22" s="5" t="s">
        <v>368</v>
      </c>
      <c r="CA22" s="5" t="s">
        <v>14</v>
      </c>
      <c r="CB22" s="5" t="s">
        <v>369</v>
      </c>
      <c r="CC22" s="5" t="s">
        <v>160</v>
      </c>
      <c r="CD22" s="5">
        <v>315</v>
      </c>
      <c r="CE22" s="5">
        <v>32</v>
      </c>
      <c r="CF22" s="5" t="b">
        <v>0</v>
      </c>
      <c r="CG22" s="5" t="s">
        <v>161</v>
      </c>
      <c r="CH22" s="5">
        <v>48</v>
      </c>
      <c r="CI22" s="5">
        <v>1</v>
      </c>
      <c r="CJ22" s="5">
        <v>0.25</v>
      </c>
      <c r="CK22" s="5">
        <v>7</v>
      </c>
      <c r="CL22" s="5" t="s">
        <v>370</v>
      </c>
      <c r="CM22" s="5">
        <v>7</v>
      </c>
      <c r="CN22" s="5" t="s">
        <v>163</v>
      </c>
      <c r="CO22" s="5">
        <v>0</v>
      </c>
      <c r="CP22" s="5" t="s">
        <v>280</v>
      </c>
      <c r="CQ22" s="5" t="s">
        <v>164</v>
      </c>
      <c r="CR22" s="5" t="s">
        <v>367</v>
      </c>
      <c r="CS22" s="5">
        <v>3</v>
      </c>
      <c r="CT22" s="5" t="b">
        <v>0</v>
      </c>
      <c r="CU22" s="5" t="s">
        <v>165</v>
      </c>
      <c r="CV22" s="5" t="b">
        <v>1</v>
      </c>
      <c r="CW22" s="5" t="b">
        <v>0</v>
      </c>
      <c r="CX22" s="5">
        <v>1</v>
      </c>
      <c r="CY22" s="5">
        <v>2</v>
      </c>
      <c r="CZ22" s="5" t="b">
        <v>0</v>
      </c>
      <c r="DA22" s="5" t="b">
        <v>0</v>
      </c>
      <c r="DB22" s="5" t="b">
        <v>0</v>
      </c>
      <c r="DC22" s="5" t="s">
        <v>166</v>
      </c>
      <c r="DD22" s="5" t="s">
        <v>167</v>
      </c>
      <c r="DE22" s="5" t="s">
        <v>168</v>
      </c>
      <c r="DF22" s="5">
        <v>0.5</v>
      </c>
      <c r="DG22" s="5">
        <v>10</v>
      </c>
      <c r="DH22" s="5">
        <v>0.3</v>
      </c>
      <c r="DI22" s="5">
        <v>1</v>
      </c>
      <c r="DJ22" s="5">
        <v>1</v>
      </c>
      <c r="DK22" s="5" t="s">
        <v>169</v>
      </c>
      <c r="DL22" s="5" t="b">
        <v>0</v>
      </c>
      <c r="DM22" s="5">
        <v>32</v>
      </c>
      <c r="DN22" s="5">
        <v>1</v>
      </c>
      <c r="DO22" s="5" t="s">
        <v>170</v>
      </c>
      <c r="DP22" s="5" t="s">
        <v>369</v>
      </c>
      <c r="DQ22" s="5" t="s">
        <v>171</v>
      </c>
      <c r="DR22" s="5" t="s">
        <v>172</v>
      </c>
      <c r="DS22" s="7" t="str">
        <f>_xlfn.XLOOKUP(CP22,datasetmap!B:B,datasetmap!A:A)</f>
        <v>UWG</v>
      </c>
      <c r="DT22" s="8">
        <f t="shared" si="0"/>
        <v>1.120840192</v>
      </c>
    </row>
    <row r="23" ht="17.6" spans="1:124">
      <c r="A23" s="5" t="s">
        <v>371</v>
      </c>
      <c r="B23" s="5">
        <v>32</v>
      </c>
      <c r="C23" s="5" t="s">
        <v>141</v>
      </c>
      <c r="D23" s="5" t="s">
        <v>372</v>
      </c>
      <c r="E23" s="5" t="s">
        <v>373</v>
      </c>
      <c r="F23" s="5" t="s">
        <v>374</v>
      </c>
      <c r="G23" s="6">
        <v>1.77913240502547e+18</v>
      </c>
      <c r="H23" s="5">
        <v>0.973430379579453</v>
      </c>
      <c r="I23" s="5">
        <v>0.972805144749165</v>
      </c>
      <c r="J23" s="5">
        <v>0.756532193</v>
      </c>
      <c r="K23" s="5">
        <v>0.973430379579453</v>
      </c>
      <c r="L23" s="6">
        <v>1.77913240502539e+18</v>
      </c>
      <c r="M23" s="5">
        <v>0.972714870395634</v>
      </c>
      <c r="N23" s="6">
        <v>1.77913241103211e+18</v>
      </c>
      <c r="O23" s="6">
        <v>1.77913231566923e+18</v>
      </c>
      <c r="P23" s="5">
        <v>63.658901019</v>
      </c>
      <c r="Q23" s="5">
        <v>0.25</v>
      </c>
      <c r="R23" s="5">
        <v>6</v>
      </c>
      <c r="S23" s="5" t="s">
        <v>145</v>
      </c>
      <c r="T23" s="5" t="s">
        <v>146</v>
      </c>
      <c r="U23" s="5" t="b">
        <v>0</v>
      </c>
      <c r="V23" s="5">
        <v>25</v>
      </c>
      <c r="W23" s="5">
        <v>0</v>
      </c>
      <c r="X23" s="5">
        <v>10</v>
      </c>
      <c r="Y23" s="5">
        <v>8</v>
      </c>
      <c r="Z23" s="5" t="b">
        <v>0</v>
      </c>
      <c r="AA23" s="5">
        <v>4</v>
      </c>
      <c r="AB23" s="5" t="b">
        <v>0</v>
      </c>
      <c r="AC23" s="5" t="b">
        <v>0</v>
      </c>
      <c r="AD23" s="5" t="s">
        <v>147</v>
      </c>
      <c r="AE23" s="5" t="s">
        <v>375</v>
      </c>
      <c r="AF23" s="5">
        <v>1</v>
      </c>
      <c r="AG23" s="5" t="b">
        <v>0</v>
      </c>
      <c r="AH23" s="5" t="b">
        <v>0</v>
      </c>
      <c r="AI23" s="5" t="s">
        <v>149</v>
      </c>
      <c r="AJ23" s="5">
        <v>3</v>
      </c>
      <c r="AK23" s="5" t="b">
        <v>0</v>
      </c>
      <c r="AL23" s="5">
        <v>10</v>
      </c>
      <c r="AM23" s="5">
        <v>0</v>
      </c>
      <c r="AN23" s="5">
        <v>0</v>
      </c>
      <c r="AO23" s="5" t="b">
        <v>0</v>
      </c>
      <c r="AP23" s="5">
        <v>0.001</v>
      </c>
      <c r="AQ23" s="5">
        <v>256</v>
      </c>
      <c r="AR23" s="5" t="b">
        <v>1</v>
      </c>
      <c r="AS23" s="5">
        <v>1</v>
      </c>
      <c r="AT23" s="5">
        <v>3</v>
      </c>
      <c r="AU23" s="5">
        <v>0.1</v>
      </c>
      <c r="AV23" s="5">
        <v>0.1</v>
      </c>
      <c r="AW23" s="5" t="b">
        <v>0</v>
      </c>
      <c r="AX23" s="5">
        <v>32</v>
      </c>
      <c r="AY23" s="5">
        <v>123</v>
      </c>
      <c r="AZ23" s="5">
        <v>1</v>
      </c>
      <c r="BA23" s="5">
        <v>16</v>
      </c>
      <c r="BB23" s="5" t="s">
        <v>178</v>
      </c>
      <c r="BC23" s="5" t="s">
        <v>151</v>
      </c>
      <c r="BD23" s="5">
        <v>10</v>
      </c>
      <c r="BE23" s="5" t="b">
        <v>0</v>
      </c>
      <c r="BF23" s="5" t="s">
        <v>152</v>
      </c>
      <c r="BG23" s="5" t="s">
        <v>376</v>
      </c>
      <c r="BH23" s="5">
        <v>0</v>
      </c>
      <c r="BI23" s="5" t="s">
        <v>154</v>
      </c>
      <c r="BJ23" s="5">
        <v>2</v>
      </c>
      <c r="BK23" s="5"/>
      <c r="BL23" s="5" t="b">
        <v>0</v>
      </c>
      <c r="BM23" s="5">
        <v>0</v>
      </c>
      <c r="BN23" s="5">
        <v>0</v>
      </c>
      <c r="BO23" s="5" t="s">
        <v>155</v>
      </c>
      <c r="BP23" s="5">
        <v>128</v>
      </c>
      <c r="BQ23" s="5" t="s">
        <v>156</v>
      </c>
      <c r="BR23" s="5">
        <v>2</v>
      </c>
      <c r="BS23" s="5" t="s">
        <v>157</v>
      </c>
      <c r="BT23" s="5">
        <v>0</v>
      </c>
      <c r="BU23" s="5">
        <v>96</v>
      </c>
      <c r="BV23" s="5" t="b">
        <v>0</v>
      </c>
      <c r="BW23" s="5">
        <v>1000</v>
      </c>
      <c r="BX23" s="5">
        <v>0.3</v>
      </c>
      <c r="BY23" s="5" t="b">
        <v>0</v>
      </c>
      <c r="BZ23" s="5" t="s">
        <v>377</v>
      </c>
      <c r="CA23" s="5" t="s">
        <v>14</v>
      </c>
      <c r="CB23" s="5" t="s">
        <v>378</v>
      </c>
      <c r="CC23" s="5" t="s">
        <v>160</v>
      </c>
      <c r="CD23" s="5">
        <v>93</v>
      </c>
      <c r="CE23" s="5">
        <v>32</v>
      </c>
      <c r="CF23" s="5" t="b">
        <v>0</v>
      </c>
      <c r="CG23" s="5" t="s">
        <v>161</v>
      </c>
      <c r="CH23" s="5">
        <v>48</v>
      </c>
      <c r="CI23" s="5">
        <v>1</v>
      </c>
      <c r="CJ23" s="5">
        <v>0.25</v>
      </c>
      <c r="CK23" s="5">
        <v>7</v>
      </c>
      <c r="CL23" s="5" t="s">
        <v>379</v>
      </c>
      <c r="CM23" s="5">
        <v>7</v>
      </c>
      <c r="CN23" s="5" t="s">
        <v>163</v>
      </c>
      <c r="CO23" s="5">
        <v>0</v>
      </c>
      <c r="CP23" s="5" t="s">
        <v>183</v>
      </c>
      <c r="CQ23" s="5" t="s">
        <v>164</v>
      </c>
      <c r="CR23" s="5" t="s">
        <v>376</v>
      </c>
      <c r="CS23" s="5">
        <v>13</v>
      </c>
      <c r="CT23" s="5" t="b">
        <v>0</v>
      </c>
      <c r="CU23" s="5" t="s">
        <v>165</v>
      </c>
      <c r="CV23" s="5" t="b">
        <v>1</v>
      </c>
      <c r="CW23" s="5" t="b">
        <v>0</v>
      </c>
      <c r="CX23" s="5">
        <v>1</v>
      </c>
      <c r="CY23" s="5">
        <v>2</v>
      </c>
      <c r="CZ23" s="5" t="b">
        <v>0</v>
      </c>
      <c r="DA23" s="5" t="b">
        <v>0</v>
      </c>
      <c r="DB23" s="5" t="b">
        <v>0</v>
      </c>
      <c r="DC23" s="5" t="s">
        <v>166</v>
      </c>
      <c r="DD23" s="5" t="s">
        <v>167</v>
      </c>
      <c r="DE23" s="5" t="s">
        <v>168</v>
      </c>
      <c r="DF23" s="5">
        <v>0.5</v>
      </c>
      <c r="DG23" s="5">
        <v>10</v>
      </c>
      <c r="DH23" s="5">
        <v>0.3</v>
      </c>
      <c r="DI23" s="5">
        <v>1</v>
      </c>
      <c r="DJ23" s="5">
        <v>1</v>
      </c>
      <c r="DK23" s="5" t="s">
        <v>169</v>
      </c>
      <c r="DL23" s="5" t="b">
        <v>0</v>
      </c>
      <c r="DM23" s="5">
        <v>32</v>
      </c>
      <c r="DN23" s="5">
        <v>1</v>
      </c>
      <c r="DO23" s="5" t="s">
        <v>170</v>
      </c>
      <c r="DP23" s="5" t="s">
        <v>378</v>
      </c>
      <c r="DQ23" s="5" t="s">
        <v>171</v>
      </c>
      <c r="DR23" s="5" t="s">
        <v>172</v>
      </c>
      <c r="DS23" s="7" t="str">
        <f>_xlfn.XLOOKUP(CP23,datasetmap!B:B,datasetmap!A:A)</f>
        <v>SAD</v>
      </c>
      <c r="DT23" s="8">
        <f t="shared" si="0"/>
        <v>6.006640128</v>
      </c>
    </row>
    <row r="24" ht="17.6" spans="1:124">
      <c r="A24" s="5" t="s">
        <v>380</v>
      </c>
      <c r="B24" s="5">
        <v>32</v>
      </c>
      <c r="C24" s="5" t="s">
        <v>141</v>
      </c>
      <c r="D24" s="5" t="s">
        <v>381</v>
      </c>
      <c r="E24" s="5" t="s">
        <v>382</v>
      </c>
      <c r="F24" s="5" t="s">
        <v>383</v>
      </c>
      <c r="G24" s="6">
        <v>1.77913228154543e+18</v>
      </c>
      <c r="H24" s="5">
        <v>0.672307885634377</v>
      </c>
      <c r="I24" s="5">
        <v>0.672218702544242</v>
      </c>
      <c r="J24" s="5">
        <v>1.98589511</v>
      </c>
      <c r="K24" s="5">
        <v>0.672307885634377</v>
      </c>
      <c r="L24" s="6">
        <v>1.77913228154538e+18</v>
      </c>
      <c r="M24" s="5">
        <v>0.672247446083995</v>
      </c>
      <c r="N24" s="6">
        <v>1.77913236244817e+18</v>
      </c>
      <c r="O24" s="6">
        <v>1.77913181091195e+18</v>
      </c>
      <c r="P24" s="5">
        <v>179.223131415</v>
      </c>
      <c r="Q24" s="5">
        <v>0.25</v>
      </c>
      <c r="R24" s="5">
        <v>6</v>
      </c>
      <c r="S24" s="5" t="s">
        <v>145</v>
      </c>
      <c r="T24" s="5" t="s">
        <v>146</v>
      </c>
      <c r="U24" s="5" t="b">
        <v>0</v>
      </c>
      <c r="V24" s="5">
        <v>25</v>
      </c>
      <c r="W24" s="5">
        <v>0</v>
      </c>
      <c r="X24" s="5">
        <v>10</v>
      </c>
      <c r="Y24" s="5">
        <v>8</v>
      </c>
      <c r="Z24" s="5" t="b">
        <v>0</v>
      </c>
      <c r="AA24" s="5">
        <v>4</v>
      </c>
      <c r="AB24" s="5" t="b">
        <v>0</v>
      </c>
      <c r="AC24" s="5" t="b">
        <v>0</v>
      </c>
      <c r="AD24" s="5" t="s">
        <v>147</v>
      </c>
      <c r="AE24" s="5" t="s">
        <v>384</v>
      </c>
      <c r="AF24" s="5">
        <v>1</v>
      </c>
      <c r="AG24" s="5" t="b">
        <v>0</v>
      </c>
      <c r="AH24" s="5" t="b">
        <v>0</v>
      </c>
      <c r="AI24" s="5" t="s">
        <v>149</v>
      </c>
      <c r="AJ24" s="5">
        <v>3</v>
      </c>
      <c r="AK24" s="5" t="b">
        <v>0</v>
      </c>
      <c r="AL24" s="5">
        <v>2</v>
      </c>
      <c r="AM24" s="5">
        <v>0</v>
      </c>
      <c r="AN24" s="5">
        <v>0</v>
      </c>
      <c r="AO24" s="5" t="b">
        <v>0</v>
      </c>
      <c r="AP24" s="5">
        <v>0.001</v>
      </c>
      <c r="AQ24" s="5">
        <v>256</v>
      </c>
      <c r="AR24" s="5" t="b">
        <v>1</v>
      </c>
      <c r="AS24" s="5">
        <v>1</v>
      </c>
      <c r="AT24" s="5">
        <v>3</v>
      </c>
      <c r="AU24" s="5">
        <v>0.1</v>
      </c>
      <c r="AV24" s="5">
        <v>0.1</v>
      </c>
      <c r="AW24" s="5" t="b">
        <v>0</v>
      </c>
      <c r="AX24" s="5">
        <v>32</v>
      </c>
      <c r="AY24" s="5">
        <v>123</v>
      </c>
      <c r="AZ24" s="5">
        <v>1</v>
      </c>
      <c r="BA24" s="5">
        <v>16</v>
      </c>
      <c r="BB24" s="5" t="s">
        <v>189</v>
      </c>
      <c r="BC24" s="5" t="s">
        <v>151</v>
      </c>
      <c r="BD24" s="5">
        <v>10</v>
      </c>
      <c r="BE24" s="5" t="b">
        <v>0</v>
      </c>
      <c r="BF24" s="5" t="s">
        <v>152</v>
      </c>
      <c r="BG24" s="5" t="s">
        <v>385</v>
      </c>
      <c r="BH24" s="5">
        <v>0</v>
      </c>
      <c r="BI24" s="5" t="s">
        <v>154</v>
      </c>
      <c r="BJ24" s="5">
        <v>2</v>
      </c>
      <c r="BK24" s="5"/>
      <c r="BL24" s="5" t="b">
        <v>0</v>
      </c>
      <c r="BM24" s="5">
        <v>0</v>
      </c>
      <c r="BN24" s="5">
        <v>0</v>
      </c>
      <c r="BO24" s="5" t="s">
        <v>155</v>
      </c>
      <c r="BP24" s="5">
        <v>128</v>
      </c>
      <c r="BQ24" s="5" t="s">
        <v>156</v>
      </c>
      <c r="BR24" s="5">
        <v>2</v>
      </c>
      <c r="BS24" s="5" t="s">
        <v>157</v>
      </c>
      <c r="BT24" s="5">
        <v>0</v>
      </c>
      <c r="BU24" s="5">
        <v>96</v>
      </c>
      <c r="BV24" s="5" t="b">
        <v>0</v>
      </c>
      <c r="BW24" s="5">
        <v>1000</v>
      </c>
      <c r="BX24" s="5">
        <v>0.3</v>
      </c>
      <c r="BY24" s="5" t="b">
        <v>0</v>
      </c>
      <c r="BZ24" s="5" t="s">
        <v>386</v>
      </c>
      <c r="CA24" s="5" t="s">
        <v>14</v>
      </c>
      <c r="CB24" s="5" t="s">
        <v>387</v>
      </c>
      <c r="CC24" s="5" t="s">
        <v>160</v>
      </c>
      <c r="CD24" s="5">
        <v>62</v>
      </c>
      <c r="CE24" s="5">
        <v>32</v>
      </c>
      <c r="CF24" s="5" t="b">
        <v>0</v>
      </c>
      <c r="CG24" s="5" t="s">
        <v>161</v>
      </c>
      <c r="CH24" s="5">
        <v>48</v>
      </c>
      <c r="CI24" s="5">
        <v>1</v>
      </c>
      <c r="CJ24" s="5">
        <v>0.25</v>
      </c>
      <c r="CK24" s="5">
        <v>7</v>
      </c>
      <c r="CL24" s="5" t="s">
        <v>388</v>
      </c>
      <c r="CM24" s="5">
        <v>7</v>
      </c>
      <c r="CN24" s="5" t="s">
        <v>163</v>
      </c>
      <c r="CO24" s="5">
        <v>0</v>
      </c>
      <c r="CP24" s="5" t="s">
        <v>194</v>
      </c>
      <c r="CQ24" s="5" t="s">
        <v>164</v>
      </c>
      <c r="CR24" s="5" t="s">
        <v>385</v>
      </c>
      <c r="CS24" s="5">
        <v>144</v>
      </c>
      <c r="CT24" s="5" t="b">
        <v>0</v>
      </c>
      <c r="CU24" s="5" t="s">
        <v>165</v>
      </c>
      <c r="CV24" s="5" t="b">
        <v>1</v>
      </c>
      <c r="CW24" s="5" t="b">
        <v>0</v>
      </c>
      <c r="CX24" s="5">
        <v>1</v>
      </c>
      <c r="CY24" s="5">
        <v>2</v>
      </c>
      <c r="CZ24" s="5" t="b">
        <v>0</v>
      </c>
      <c r="DA24" s="5" t="b">
        <v>0</v>
      </c>
      <c r="DB24" s="5" t="b">
        <v>0</v>
      </c>
      <c r="DC24" s="5" t="s">
        <v>166</v>
      </c>
      <c r="DD24" s="5" t="s">
        <v>167</v>
      </c>
      <c r="DE24" s="5" t="s">
        <v>168</v>
      </c>
      <c r="DF24" s="5">
        <v>0.5</v>
      </c>
      <c r="DG24" s="5">
        <v>10</v>
      </c>
      <c r="DH24" s="5">
        <v>0.3</v>
      </c>
      <c r="DI24" s="5">
        <v>1</v>
      </c>
      <c r="DJ24" s="5">
        <v>1</v>
      </c>
      <c r="DK24" s="5" t="s">
        <v>169</v>
      </c>
      <c r="DL24" s="5" t="b">
        <v>0</v>
      </c>
      <c r="DM24" s="5">
        <v>32</v>
      </c>
      <c r="DN24" s="5">
        <v>1</v>
      </c>
      <c r="DO24" s="5" t="s">
        <v>170</v>
      </c>
      <c r="DP24" s="5" t="s">
        <v>387</v>
      </c>
      <c r="DQ24" s="5" t="s">
        <v>171</v>
      </c>
      <c r="DR24" s="5" t="s">
        <v>172</v>
      </c>
      <c r="DS24" s="7" t="str">
        <f>_xlfn.XLOOKUP(CP24,datasetmap!B:B,datasetmap!A:A)</f>
        <v>FD</v>
      </c>
      <c r="DT24" s="8">
        <f t="shared" si="0"/>
        <v>80.902739968</v>
      </c>
    </row>
    <row r="25" ht="17.6" spans="1:124">
      <c r="A25" s="5" t="s">
        <v>389</v>
      </c>
      <c r="B25" s="5">
        <v>32</v>
      </c>
      <c r="C25" s="5" t="s">
        <v>141</v>
      </c>
      <c r="D25" s="5" t="s">
        <v>390</v>
      </c>
      <c r="E25" s="5" t="s">
        <v>391</v>
      </c>
      <c r="F25" s="5" t="s">
        <v>392</v>
      </c>
      <c r="G25" s="6">
        <v>1.77913227185656e+18</v>
      </c>
      <c r="H25" s="5">
        <v>0.470926476288926</v>
      </c>
      <c r="I25" s="5">
        <v>0.466275476762695</v>
      </c>
      <c r="J25" s="5">
        <v>0.800492148</v>
      </c>
      <c r="K25" s="5">
        <v>0.470926476288926</v>
      </c>
      <c r="L25" s="6">
        <v>1.7791322718565e+18</v>
      </c>
      <c r="M25" s="5">
        <v>0.472222222222222</v>
      </c>
      <c r="N25" s="6">
        <v>1.77913227334099e+18</v>
      </c>
      <c r="O25" s="6">
        <v>1.77913222143467e+18</v>
      </c>
      <c r="P25" s="5">
        <v>48.208395364</v>
      </c>
      <c r="Q25" s="5">
        <v>0.25</v>
      </c>
      <c r="R25" s="5">
        <v>6</v>
      </c>
      <c r="S25" s="5" t="s">
        <v>145</v>
      </c>
      <c r="T25" s="5" t="s">
        <v>146</v>
      </c>
      <c r="U25" s="5" t="b">
        <v>0</v>
      </c>
      <c r="V25" s="5">
        <v>25</v>
      </c>
      <c r="W25" s="5">
        <v>0</v>
      </c>
      <c r="X25" s="5">
        <v>10</v>
      </c>
      <c r="Y25" s="5">
        <v>8</v>
      </c>
      <c r="Z25" s="5" t="b">
        <v>0</v>
      </c>
      <c r="AA25" s="5">
        <v>4</v>
      </c>
      <c r="AB25" s="5" t="b">
        <v>0</v>
      </c>
      <c r="AC25" s="5" t="b">
        <v>0</v>
      </c>
      <c r="AD25" s="5" t="s">
        <v>147</v>
      </c>
      <c r="AE25" s="5" t="s">
        <v>393</v>
      </c>
      <c r="AF25" s="5">
        <v>1</v>
      </c>
      <c r="AG25" s="5" t="b">
        <v>0</v>
      </c>
      <c r="AH25" s="5" t="b">
        <v>0</v>
      </c>
      <c r="AI25" s="5" t="s">
        <v>149</v>
      </c>
      <c r="AJ25" s="5">
        <v>3</v>
      </c>
      <c r="AK25" s="5" t="b">
        <v>0</v>
      </c>
      <c r="AL25" s="5">
        <v>2</v>
      </c>
      <c r="AM25" s="5">
        <v>0</v>
      </c>
      <c r="AN25" s="5">
        <v>0</v>
      </c>
      <c r="AO25" s="5" t="b">
        <v>0</v>
      </c>
      <c r="AP25" s="5">
        <v>0.001</v>
      </c>
      <c r="AQ25" s="5">
        <v>256</v>
      </c>
      <c r="AR25" s="5" t="b">
        <v>1</v>
      </c>
      <c r="AS25" s="5">
        <v>1</v>
      </c>
      <c r="AT25" s="5">
        <v>3</v>
      </c>
      <c r="AU25" s="5">
        <v>0.1</v>
      </c>
      <c r="AV25" s="5">
        <v>0.1</v>
      </c>
      <c r="AW25" s="5" t="b">
        <v>0</v>
      </c>
      <c r="AX25" s="5">
        <v>32</v>
      </c>
      <c r="AY25" s="5">
        <v>123</v>
      </c>
      <c r="AZ25" s="5">
        <v>1</v>
      </c>
      <c r="BA25" s="5">
        <v>16</v>
      </c>
      <c r="BB25" s="5" t="s">
        <v>200</v>
      </c>
      <c r="BC25" s="5" t="s">
        <v>151</v>
      </c>
      <c r="BD25" s="5">
        <v>10</v>
      </c>
      <c r="BE25" s="5" t="b">
        <v>0</v>
      </c>
      <c r="BF25" s="5" t="s">
        <v>152</v>
      </c>
      <c r="BG25" s="5" t="s">
        <v>394</v>
      </c>
      <c r="BH25" s="5">
        <v>0</v>
      </c>
      <c r="BI25" s="5" t="s">
        <v>154</v>
      </c>
      <c r="BJ25" s="5">
        <v>2</v>
      </c>
      <c r="BK25" s="5"/>
      <c r="BL25" s="5" t="b">
        <v>0</v>
      </c>
      <c r="BM25" s="5">
        <v>0</v>
      </c>
      <c r="BN25" s="5">
        <v>0</v>
      </c>
      <c r="BO25" s="5" t="s">
        <v>155</v>
      </c>
      <c r="BP25" s="5">
        <v>128</v>
      </c>
      <c r="BQ25" s="5" t="s">
        <v>156</v>
      </c>
      <c r="BR25" s="5">
        <v>2</v>
      </c>
      <c r="BS25" s="5" t="s">
        <v>157</v>
      </c>
      <c r="BT25" s="5">
        <v>0</v>
      </c>
      <c r="BU25" s="5">
        <v>96</v>
      </c>
      <c r="BV25" s="5" t="b">
        <v>0</v>
      </c>
      <c r="BW25" s="5">
        <v>1000</v>
      </c>
      <c r="BX25" s="5">
        <v>0.3</v>
      </c>
      <c r="BY25" s="5" t="b">
        <v>0</v>
      </c>
      <c r="BZ25" s="5" t="s">
        <v>395</v>
      </c>
      <c r="CA25" s="5" t="s">
        <v>14</v>
      </c>
      <c r="CB25" s="5" t="s">
        <v>396</v>
      </c>
      <c r="CC25" s="5" t="s">
        <v>160</v>
      </c>
      <c r="CD25" s="5">
        <v>1152</v>
      </c>
      <c r="CE25" s="5">
        <v>32</v>
      </c>
      <c r="CF25" s="5" t="b">
        <v>0</v>
      </c>
      <c r="CG25" s="5" t="s">
        <v>161</v>
      </c>
      <c r="CH25" s="5">
        <v>48</v>
      </c>
      <c r="CI25" s="5">
        <v>1</v>
      </c>
      <c r="CJ25" s="5">
        <v>0.25</v>
      </c>
      <c r="CK25" s="5">
        <v>7</v>
      </c>
      <c r="CL25" s="5" t="s">
        <v>397</v>
      </c>
      <c r="CM25" s="5">
        <v>7</v>
      </c>
      <c r="CN25" s="5" t="s">
        <v>163</v>
      </c>
      <c r="CO25" s="5">
        <v>0</v>
      </c>
      <c r="CP25" s="5" t="s">
        <v>205</v>
      </c>
      <c r="CQ25" s="5" t="s">
        <v>164</v>
      </c>
      <c r="CR25" s="5" t="s">
        <v>394</v>
      </c>
      <c r="CS25" s="5">
        <v>7</v>
      </c>
      <c r="CT25" s="5" t="b">
        <v>0</v>
      </c>
      <c r="CU25" s="5" t="s">
        <v>165</v>
      </c>
      <c r="CV25" s="5" t="b">
        <v>1</v>
      </c>
      <c r="CW25" s="5" t="b">
        <v>0</v>
      </c>
      <c r="CX25" s="5">
        <v>1</v>
      </c>
      <c r="CY25" s="5">
        <v>2</v>
      </c>
      <c r="CZ25" s="5" t="b">
        <v>0</v>
      </c>
      <c r="DA25" s="5" t="b">
        <v>0</v>
      </c>
      <c r="DB25" s="5" t="b">
        <v>0</v>
      </c>
      <c r="DC25" s="5" t="s">
        <v>166</v>
      </c>
      <c r="DD25" s="5" t="s">
        <v>167</v>
      </c>
      <c r="DE25" s="5" t="s">
        <v>168</v>
      </c>
      <c r="DF25" s="5">
        <v>0.5</v>
      </c>
      <c r="DG25" s="5">
        <v>10</v>
      </c>
      <c r="DH25" s="5">
        <v>0.3</v>
      </c>
      <c r="DI25" s="5">
        <v>1</v>
      </c>
      <c r="DJ25" s="5">
        <v>1</v>
      </c>
      <c r="DK25" s="5" t="s">
        <v>169</v>
      </c>
      <c r="DL25" s="5" t="b">
        <v>0</v>
      </c>
      <c r="DM25" s="5">
        <v>32</v>
      </c>
      <c r="DN25" s="5">
        <v>1</v>
      </c>
      <c r="DO25" s="5" t="s">
        <v>170</v>
      </c>
      <c r="DP25" s="5" t="s">
        <v>396</v>
      </c>
      <c r="DQ25" s="5" t="s">
        <v>171</v>
      </c>
      <c r="DR25" s="5" t="s">
        <v>172</v>
      </c>
      <c r="DS25" s="7" t="str">
        <f>_xlfn.XLOOKUP(CP25,datasetmap!B:B,datasetmap!A:A)</f>
        <v>SRS2</v>
      </c>
      <c r="DT25" s="8">
        <f t="shared" si="0"/>
        <v>1.484429824</v>
      </c>
    </row>
    <row r="26" ht="17.6" spans="1:124">
      <c r="A26" s="5" t="s">
        <v>398</v>
      </c>
      <c r="B26" s="5">
        <v>32</v>
      </c>
      <c r="C26" s="5" t="s">
        <v>141</v>
      </c>
      <c r="D26" s="5" t="s">
        <v>399</v>
      </c>
      <c r="E26" s="5" t="s">
        <v>400</v>
      </c>
      <c r="F26" s="5" t="s">
        <v>401</v>
      </c>
      <c r="G26" s="6">
        <v>1.77913216315474e+18</v>
      </c>
      <c r="H26" s="5">
        <v>0.840177042748286</v>
      </c>
      <c r="I26" s="5">
        <v>0.83565667347984</v>
      </c>
      <c r="J26" s="5">
        <v>0.429355964</v>
      </c>
      <c r="K26" s="5">
        <v>0.840177042748286</v>
      </c>
      <c r="L26" s="6">
        <v>1.77913216315467e+18</v>
      </c>
      <c r="M26" s="5">
        <v>0.83617747440273</v>
      </c>
      <c r="N26" s="6">
        <v>1.779132164447e+18</v>
      </c>
      <c r="O26" s="6">
        <v>1.77913212346599e+18</v>
      </c>
      <c r="P26" s="5">
        <v>37.049423757</v>
      </c>
      <c r="Q26" s="5">
        <v>0.25</v>
      </c>
      <c r="R26" s="5">
        <v>6</v>
      </c>
      <c r="S26" s="5" t="s">
        <v>145</v>
      </c>
      <c r="T26" s="5" t="s">
        <v>146</v>
      </c>
      <c r="U26" s="5" t="b">
        <v>0</v>
      </c>
      <c r="V26" s="5">
        <v>25</v>
      </c>
      <c r="W26" s="5">
        <v>0</v>
      </c>
      <c r="X26" s="5">
        <v>10</v>
      </c>
      <c r="Y26" s="5">
        <v>8</v>
      </c>
      <c r="Z26" s="5" t="b">
        <v>0</v>
      </c>
      <c r="AA26" s="5">
        <v>4</v>
      </c>
      <c r="AB26" s="5" t="b">
        <v>0</v>
      </c>
      <c r="AC26" s="5" t="b">
        <v>0</v>
      </c>
      <c r="AD26" s="5" t="s">
        <v>147</v>
      </c>
      <c r="AE26" s="5" t="s">
        <v>402</v>
      </c>
      <c r="AF26" s="5">
        <v>1</v>
      </c>
      <c r="AG26" s="5" t="b">
        <v>0</v>
      </c>
      <c r="AH26" s="5" t="b">
        <v>0</v>
      </c>
      <c r="AI26" s="5" t="s">
        <v>149</v>
      </c>
      <c r="AJ26" s="5">
        <v>3</v>
      </c>
      <c r="AK26" s="5" t="b">
        <v>0</v>
      </c>
      <c r="AL26" s="5">
        <v>2</v>
      </c>
      <c r="AM26" s="5">
        <v>0</v>
      </c>
      <c r="AN26" s="5">
        <v>0</v>
      </c>
      <c r="AO26" s="5" t="b">
        <v>0</v>
      </c>
      <c r="AP26" s="5">
        <v>0.001</v>
      </c>
      <c r="AQ26" s="5">
        <v>256</v>
      </c>
      <c r="AR26" s="5" t="b">
        <v>1</v>
      </c>
      <c r="AS26" s="5">
        <v>1</v>
      </c>
      <c r="AT26" s="5">
        <v>3</v>
      </c>
      <c r="AU26" s="5">
        <v>0.1</v>
      </c>
      <c r="AV26" s="5">
        <v>0.1</v>
      </c>
      <c r="AW26" s="5" t="b">
        <v>0</v>
      </c>
      <c r="AX26" s="5">
        <v>32</v>
      </c>
      <c r="AY26" s="5">
        <v>123</v>
      </c>
      <c r="AZ26" s="5">
        <v>1</v>
      </c>
      <c r="BA26" s="5">
        <v>16</v>
      </c>
      <c r="BB26" s="5" t="s">
        <v>211</v>
      </c>
      <c r="BC26" s="5" t="s">
        <v>151</v>
      </c>
      <c r="BD26" s="5">
        <v>10</v>
      </c>
      <c r="BE26" s="5" t="b">
        <v>0</v>
      </c>
      <c r="BF26" s="5" t="s">
        <v>152</v>
      </c>
      <c r="BG26" s="5" t="s">
        <v>403</v>
      </c>
      <c r="BH26" s="5">
        <v>0</v>
      </c>
      <c r="BI26" s="5" t="s">
        <v>154</v>
      </c>
      <c r="BJ26" s="5">
        <v>2</v>
      </c>
      <c r="BK26" s="5"/>
      <c r="BL26" s="5" t="b">
        <v>0</v>
      </c>
      <c r="BM26" s="5">
        <v>0</v>
      </c>
      <c r="BN26" s="5">
        <v>0</v>
      </c>
      <c r="BO26" s="5" t="s">
        <v>155</v>
      </c>
      <c r="BP26" s="5">
        <v>128</v>
      </c>
      <c r="BQ26" s="5" t="s">
        <v>156</v>
      </c>
      <c r="BR26" s="5">
        <v>2</v>
      </c>
      <c r="BS26" s="5" t="s">
        <v>157</v>
      </c>
      <c r="BT26" s="5">
        <v>0</v>
      </c>
      <c r="BU26" s="5">
        <v>96</v>
      </c>
      <c r="BV26" s="5" t="b">
        <v>0</v>
      </c>
      <c r="BW26" s="5">
        <v>1000</v>
      </c>
      <c r="BX26" s="5">
        <v>0.3</v>
      </c>
      <c r="BY26" s="5" t="b">
        <v>0</v>
      </c>
      <c r="BZ26" s="5" t="s">
        <v>404</v>
      </c>
      <c r="CA26" s="5" t="s">
        <v>14</v>
      </c>
      <c r="CB26" s="5" t="s">
        <v>405</v>
      </c>
      <c r="CC26" s="5" t="s">
        <v>160</v>
      </c>
      <c r="CD26" s="5">
        <v>896</v>
      </c>
      <c r="CE26" s="5">
        <v>32</v>
      </c>
      <c r="CF26" s="5" t="b">
        <v>0</v>
      </c>
      <c r="CG26" s="5" t="s">
        <v>161</v>
      </c>
      <c r="CH26" s="5">
        <v>48</v>
      </c>
      <c r="CI26" s="5">
        <v>1</v>
      </c>
      <c r="CJ26" s="5">
        <v>0.25</v>
      </c>
      <c r="CK26" s="5">
        <v>7</v>
      </c>
      <c r="CL26" s="5" t="s">
        <v>406</v>
      </c>
      <c r="CM26" s="5">
        <v>7</v>
      </c>
      <c r="CN26" s="5" t="s">
        <v>163</v>
      </c>
      <c r="CO26" s="5">
        <v>0</v>
      </c>
      <c r="CP26" s="5" t="s">
        <v>216</v>
      </c>
      <c r="CQ26" s="5" t="s">
        <v>164</v>
      </c>
      <c r="CR26" s="5" t="s">
        <v>403</v>
      </c>
      <c r="CS26" s="5">
        <v>6</v>
      </c>
      <c r="CT26" s="5" t="b">
        <v>0</v>
      </c>
      <c r="CU26" s="5" t="s">
        <v>165</v>
      </c>
      <c r="CV26" s="5" t="b">
        <v>1</v>
      </c>
      <c r="CW26" s="5" t="b">
        <v>0</v>
      </c>
      <c r="CX26" s="5">
        <v>1</v>
      </c>
      <c r="CY26" s="5">
        <v>2</v>
      </c>
      <c r="CZ26" s="5" t="b">
        <v>0</v>
      </c>
      <c r="DA26" s="5" t="b">
        <v>0</v>
      </c>
      <c r="DB26" s="5" t="b">
        <v>0</v>
      </c>
      <c r="DC26" s="5" t="s">
        <v>166</v>
      </c>
      <c r="DD26" s="5" t="s">
        <v>167</v>
      </c>
      <c r="DE26" s="5" t="s">
        <v>168</v>
      </c>
      <c r="DF26" s="5">
        <v>0.5</v>
      </c>
      <c r="DG26" s="5">
        <v>10</v>
      </c>
      <c r="DH26" s="5">
        <v>0.3</v>
      </c>
      <c r="DI26" s="5">
        <v>1</v>
      </c>
      <c r="DJ26" s="5">
        <v>1</v>
      </c>
      <c r="DK26" s="5" t="s">
        <v>169</v>
      </c>
      <c r="DL26" s="5" t="b">
        <v>0</v>
      </c>
      <c r="DM26" s="5">
        <v>32</v>
      </c>
      <c r="DN26" s="5">
        <v>1</v>
      </c>
      <c r="DO26" s="5" t="s">
        <v>170</v>
      </c>
      <c r="DP26" s="5" t="s">
        <v>405</v>
      </c>
      <c r="DQ26" s="5" t="s">
        <v>171</v>
      </c>
      <c r="DR26" s="5" t="s">
        <v>172</v>
      </c>
      <c r="DS26" s="7" t="str">
        <f>_xlfn.XLOOKUP(CP26,datasetmap!B:B,datasetmap!A:A)</f>
        <v>SRS1</v>
      </c>
      <c r="DT26" s="8">
        <f t="shared" si="0"/>
        <v>1.292260096</v>
      </c>
    </row>
    <row r="27" ht="17.6" spans="1:124">
      <c r="A27" s="5" t="s">
        <v>407</v>
      </c>
      <c r="B27" s="5">
        <v>32</v>
      </c>
      <c r="C27" s="5" t="s">
        <v>141</v>
      </c>
      <c r="D27" s="5" t="s">
        <v>408</v>
      </c>
      <c r="E27" s="5" t="s">
        <v>409</v>
      </c>
      <c r="F27" s="5" t="s">
        <v>410</v>
      </c>
      <c r="G27" s="6">
        <v>1.77913209732954e+18</v>
      </c>
      <c r="H27" s="5">
        <v>0.952861292326809</v>
      </c>
      <c r="I27" s="5">
        <v>0.95160870970869</v>
      </c>
      <c r="J27" s="5">
        <v>0.399981193</v>
      </c>
      <c r="K27" s="5">
        <v>0.952861292326809</v>
      </c>
      <c r="L27" s="6">
        <v>1.77913209732945e+18</v>
      </c>
      <c r="M27" s="5">
        <v>0.951351351351351</v>
      </c>
      <c r="N27" s="6">
        <v>1.77913209840121e+18</v>
      </c>
      <c r="O27" s="6">
        <v>1.77913203987819e+18</v>
      </c>
      <c r="P27" s="5">
        <v>55.121031529</v>
      </c>
      <c r="Q27" s="5">
        <v>0.25</v>
      </c>
      <c r="R27" s="5">
        <v>6</v>
      </c>
      <c r="S27" s="5" t="s">
        <v>145</v>
      </c>
      <c r="T27" s="5" t="s">
        <v>146</v>
      </c>
      <c r="U27" s="5" t="b">
        <v>0</v>
      </c>
      <c r="V27" s="5">
        <v>25</v>
      </c>
      <c r="W27" s="5">
        <v>0</v>
      </c>
      <c r="X27" s="5">
        <v>10</v>
      </c>
      <c r="Y27" s="5">
        <v>8</v>
      </c>
      <c r="Z27" s="5" t="b">
        <v>0</v>
      </c>
      <c r="AA27" s="5">
        <v>4</v>
      </c>
      <c r="AB27" s="5" t="b">
        <v>0</v>
      </c>
      <c r="AC27" s="5" t="b">
        <v>0</v>
      </c>
      <c r="AD27" s="5" t="s">
        <v>147</v>
      </c>
      <c r="AE27" s="5" t="s">
        <v>411</v>
      </c>
      <c r="AF27" s="5">
        <v>1</v>
      </c>
      <c r="AG27" s="5" t="b">
        <v>0</v>
      </c>
      <c r="AH27" s="5" t="b">
        <v>0</v>
      </c>
      <c r="AI27" s="5" t="s">
        <v>149</v>
      </c>
      <c r="AJ27" s="5">
        <v>3</v>
      </c>
      <c r="AK27" s="5" t="b">
        <v>0</v>
      </c>
      <c r="AL27" s="5">
        <v>9</v>
      </c>
      <c r="AM27" s="5">
        <v>0</v>
      </c>
      <c r="AN27" s="5">
        <v>0</v>
      </c>
      <c r="AO27" s="5" t="b">
        <v>0</v>
      </c>
      <c r="AP27" s="5">
        <v>0.001</v>
      </c>
      <c r="AQ27" s="5">
        <v>256</v>
      </c>
      <c r="AR27" s="5" t="b">
        <v>1</v>
      </c>
      <c r="AS27" s="5">
        <v>1</v>
      </c>
      <c r="AT27" s="5">
        <v>3</v>
      </c>
      <c r="AU27" s="5">
        <v>0.1</v>
      </c>
      <c r="AV27" s="5">
        <v>0.1</v>
      </c>
      <c r="AW27" s="5" t="b">
        <v>0</v>
      </c>
      <c r="AX27" s="5">
        <v>32</v>
      </c>
      <c r="AY27" s="5">
        <v>123</v>
      </c>
      <c r="AZ27" s="5">
        <v>1</v>
      </c>
      <c r="BA27" s="5">
        <v>16</v>
      </c>
      <c r="BB27" s="5" t="s">
        <v>222</v>
      </c>
      <c r="BC27" s="5" t="s">
        <v>151</v>
      </c>
      <c r="BD27" s="5">
        <v>10</v>
      </c>
      <c r="BE27" s="5" t="b">
        <v>0</v>
      </c>
      <c r="BF27" s="5" t="s">
        <v>152</v>
      </c>
      <c r="BG27" s="5" t="s">
        <v>412</v>
      </c>
      <c r="BH27" s="5">
        <v>0</v>
      </c>
      <c r="BI27" s="5" t="s">
        <v>154</v>
      </c>
      <c r="BJ27" s="5">
        <v>2</v>
      </c>
      <c r="BK27" s="5"/>
      <c r="BL27" s="5" t="b">
        <v>0</v>
      </c>
      <c r="BM27" s="5">
        <v>0</v>
      </c>
      <c r="BN27" s="5">
        <v>0</v>
      </c>
      <c r="BO27" s="5" t="s">
        <v>155</v>
      </c>
      <c r="BP27" s="5">
        <v>128</v>
      </c>
      <c r="BQ27" s="5" t="s">
        <v>156</v>
      </c>
      <c r="BR27" s="5">
        <v>2</v>
      </c>
      <c r="BS27" s="5" t="s">
        <v>157</v>
      </c>
      <c r="BT27" s="5">
        <v>0</v>
      </c>
      <c r="BU27" s="5">
        <v>96</v>
      </c>
      <c r="BV27" s="5" t="b">
        <v>0</v>
      </c>
      <c r="BW27" s="5">
        <v>1000</v>
      </c>
      <c r="BX27" s="5">
        <v>0.3</v>
      </c>
      <c r="BY27" s="5" t="b">
        <v>0</v>
      </c>
      <c r="BZ27" s="5" t="s">
        <v>413</v>
      </c>
      <c r="CA27" s="5" t="s">
        <v>14</v>
      </c>
      <c r="CB27" s="5" t="s">
        <v>414</v>
      </c>
      <c r="CC27" s="5" t="s">
        <v>160</v>
      </c>
      <c r="CD27" s="5">
        <v>29</v>
      </c>
      <c r="CE27" s="5">
        <v>32</v>
      </c>
      <c r="CF27" s="5" t="b">
        <v>0</v>
      </c>
      <c r="CG27" s="5" t="s">
        <v>161</v>
      </c>
      <c r="CH27" s="5">
        <v>48</v>
      </c>
      <c r="CI27" s="5">
        <v>1</v>
      </c>
      <c r="CJ27" s="5">
        <v>0.25</v>
      </c>
      <c r="CK27" s="5">
        <v>7</v>
      </c>
      <c r="CL27" s="5" t="s">
        <v>415</v>
      </c>
      <c r="CM27" s="5">
        <v>7</v>
      </c>
      <c r="CN27" s="5" t="s">
        <v>163</v>
      </c>
      <c r="CO27" s="5">
        <v>0</v>
      </c>
      <c r="CP27" s="5" t="s">
        <v>227</v>
      </c>
      <c r="CQ27" s="5" t="s">
        <v>164</v>
      </c>
      <c r="CR27" s="5" t="s">
        <v>412</v>
      </c>
      <c r="CS27" s="5">
        <v>12</v>
      </c>
      <c r="CT27" s="5" t="b">
        <v>0</v>
      </c>
      <c r="CU27" s="5" t="s">
        <v>165</v>
      </c>
      <c r="CV27" s="5" t="b">
        <v>1</v>
      </c>
      <c r="CW27" s="5" t="b">
        <v>0</v>
      </c>
      <c r="CX27" s="5">
        <v>1</v>
      </c>
      <c r="CY27" s="5">
        <v>2</v>
      </c>
      <c r="CZ27" s="5" t="b">
        <v>0</v>
      </c>
      <c r="DA27" s="5" t="b">
        <v>0</v>
      </c>
      <c r="DB27" s="5" t="b">
        <v>0</v>
      </c>
      <c r="DC27" s="5" t="s">
        <v>166</v>
      </c>
      <c r="DD27" s="5" t="s">
        <v>167</v>
      </c>
      <c r="DE27" s="5" t="s">
        <v>168</v>
      </c>
      <c r="DF27" s="5">
        <v>0.5</v>
      </c>
      <c r="DG27" s="5">
        <v>10</v>
      </c>
      <c r="DH27" s="5">
        <v>0.3</v>
      </c>
      <c r="DI27" s="5">
        <v>1</v>
      </c>
      <c r="DJ27" s="5">
        <v>1</v>
      </c>
      <c r="DK27" s="5" t="s">
        <v>169</v>
      </c>
      <c r="DL27" s="5" t="b">
        <v>0</v>
      </c>
      <c r="DM27" s="5">
        <v>32</v>
      </c>
      <c r="DN27" s="5">
        <v>1</v>
      </c>
      <c r="DO27" s="5" t="s">
        <v>170</v>
      </c>
      <c r="DP27" s="5" t="s">
        <v>414</v>
      </c>
      <c r="DQ27" s="5" t="s">
        <v>171</v>
      </c>
      <c r="DR27" s="5" t="s">
        <v>172</v>
      </c>
      <c r="DS27" s="7" t="str">
        <f>_xlfn.XLOOKUP(CP27,datasetmap!B:B,datasetmap!A:A)</f>
        <v>JV</v>
      </c>
      <c r="DT27" s="8">
        <f t="shared" si="0"/>
        <v>1.071670016</v>
      </c>
    </row>
    <row r="28" ht="17.6" spans="1:124">
      <c r="A28" s="5" t="s">
        <v>416</v>
      </c>
      <c r="B28" s="5">
        <v>32</v>
      </c>
      <c r="C28" s="5" t="s">
        <v>141</v>
      </c>
      <c r="D28" s="5" t="s">
        <v>417</v>
      </c>
      <c r="E28" s="5" t="s">
        <v>418</v>
      </c>
      <c r="F28" s="5" t="s">
        <v>419</v>
      </c>
      <c r="G28" s="6">
        <v>1.77913201290485e+18</v>
      </c>
      <c r="H28" s="5">
        <v>0.639208935285287</v>
      </c>
      <c r="I28" s="5">
        <v>0.648833474396456</v>
      </c>
      <c r="J28" s="5">
        <v>0.517885495</v>
      </c>
      <c r="K28" s="5">
        <v>0.639208935285287</v>
      </c>
      <c r="L28" s="6">
        <v>1.77913201290477e+18</v>
      </c>
      <c r="M28" s="5">
        <v>0.663414634146341</v>
      </c>
      <c r="N28" s="6">
        <v>1.77913201687426e+18</v>
      </c>
      <c r="O28" s="6">
        <v>1.77913196594839e+18</v>
      </c>
      <c r="P28" s="5">
        <v>36.853828262</v>
      </c>
      <c r="Q28" s="5">
        <v>0.25</v>
      </c>
      <c r="R28" s="5">
        <v>6</v>
      </c>
      <c r="S28" s="5" t="s">
        <v>145</v>
      </c>
      <c r="T28" s="5" t="s">
        <v>146</v>
      </c>
      <c r="U28" s="5" t="b">
        <v>0</v>
      </c>
      <c r="V28" s="5">
        <v>25</v>
      </c>
      <c r="W28" s="5">
        <v>0</v>
      </c>
      <c r="X28" s="5">
        <v>10</v>
      </c>
      <c r="Y28" s="5">
        <v>8</v>
      </c>
      <c r="Z28" s="5" t="b">
        <v>0</v>
      </c>
      <c r="AA28" s="5">
        <v>4</v>
      </c>
      <c r="AB28" s="5" t="b">
        <v>0</v>
      </c>
      <c r="AC28" s="5" t="b">
        <v>0</v>
      </c>
      <c r="AD28" s="5" t="s">
        <v>147</v>
      </c>
      <c r="AE28" s="5" t="s">
        <v>420</v>
      </c>
      <c r="AF28" s="5">
        <v>1</v>
      </c>
      <c r="AG28" s="5" t="b">
        <v>0</v>
      </c>
      <c r="AH28" s="5" t="b">
        <v>0</v>
      </c>
      <c r="AI28" s="5" t="s">
        <v>149</v>
      </c>
      <c r="AJ28" s="5">
        <v>3</v>
      </c>
      <c r="AK28" s="5" t="b">
        <v>0</v>
      </c>
      <c r="AL28" s="5">
        <v>2</v>
      </c>
      <c r="AM28" s="5">
        <v>0</v>
      </c>
      <c r="AN28" s="5">
        <v>0</v>
      </c>
      <c r="AO28" s="5" t="b">
        <v>0</v>
      </c>
      <c r="AP28" s="5">
        <v>0.001</v>
      </c>
      <c r="AQ28" s="5">
        <v>256</v>
      </c>
      <c r="AR28" s="5" t="b">
        <v>1</v>
      </c>
      <c r="AS28" s="5">
        <v>1</v>
      </c>
      <c r="AT28" s="5">
        <v>3</v>
      </c>
      <c r="AU28" s="5">
        <v>0.1</v>
      </c>
      <c r="AV28" s="5">
        <v>0.1</v>
      </c>
      <c r="AW28" s="5" t="b">
        <v>0</v>
      </c>
      <c r="AX28" s="5">
        <v>32</v>
      </c>
      <c r="AY28" s="5">
        <v>123</v>
      </c>
      <c r="AZ28" s="5">
        <v>1</v>
      </c>
      <c r="BA28" s="5">
        <v>16</v>
      </c>
      <c r="BB28" s="5" t="s">
        <v>233</v>
      </c>
      <c r="BC28" s="5" t="s">
        <v>151</v>
      </c>
      <c r="BD28" s="5">
        <v>10</v>
      </c>
      <c r="BE28" s="5" t="b">
        <v>0</v>
      </c>
      <c r="BF28" s="5" t="s">
        <v>152</v>
      </c>
      <c r="BG28" s="5" t="s">
        <v>421</v>
      </c>
      <c r="BH28" s="5">
        <v>0</v>
      </c>
      <c r="BI28" s="5" t="s">
        <v>154</v>
      </c>
      <c r="BJ28" s="5">
        <v>2</v>
      </c>
      <c r="BK28" s="5"/>
      <c r="BL28" s="5" t="b">
        <v>0</v>
      </c>
      <c r="BM28" s="5">
        <v>0</v>
      </c>
      <c r="BN28" s="5">
        <v>0</v>
      </c>
      <c r="BO28" s="5" t="s">
        <v>155</v>
      </c>
      <c r="BP28" s="5">
        <v>128</v>
      </c>
      <c r="BQ28" s="5" t="s">
        <v>156</v>
      </c>
      <c r="BR28" s="5">
        <v>2</v>
      </c>
      <c r="BS28" s="5" t="s">
        <v>157</v>
      </c>
      <c r="BT28" s="5">
        <v>0</v>
      </c>
      <c r="BU28" s="5">
        <v>96</v>
      </c>
      <c r="BV28" s="5" t="b">
        <v>0</v>
      </c>
      <c r="BW28" s="5">
        <v>1000</v>
      </c>
      <c r="BX28" s="5">
        <v>0.3</v>
      </c>
      <c r="BY28" s="5" t="b">
        <v>0</v>
      </c>
      <c r="BZ28" s="5" t="s">
        <v>422</v>
      </c>
      <c r="CA28" s="5" t="s">
        <v>14</v>
      </c>
      <c r="CB28" s="5" t="s">
        <v>423</v>
      </c>
      <c r="CC28" s="5" t="s">
        <v>160</v>
      </c>
      <c r="CD28" s="5">
        <v>405</v>
      </c>
      <c r="CE28" s="5">
        <v>32</v>
      </c>
      <c r="CF28" s="5" t="b">
        <v>0</v>
      </c>
      <c r="CG28" s="5" t="s">
        <v>161</v>
      </c>
      <c r="CH28" s="5">
        <v>48</v>
      </c>
      <c r="CI28" s="5">
        <v>1</v>
      </c>
      <c r="CJ28" s="5">
        <v>0.25</v>
      </c>
      <c r="CK28" s="5">
        <v>7</v>
      </c>
      <c r="CL28" s="5" t="s">
        <v>424</v>
      </c>
      <c r="CM28" s="5">
        <v>7</v>
      </c>
      <c r="CN28" s="5" t="s">
        <v>163</v>
      </c>
      <c r="CO28" s="5">
        <v>0</v>
      </c>
      <c r="CP28" s="5" t="s">
        <v>238</v>
      </c>
      <c r="CQ28" s="5" t="s">
        <v>164</v>
      </c>
      <c r="CR28" s="5" t="s">
        <v>421</v>
      </c>
      <c r="CS28" s="5">
        <v>61</v>
      </c>
      <c r="CT28" s="5" t="b">
        <v>0</v>
      </c>
      <c r="CU28" s="5" t="s">
        <v>165</v>
      </c>
      <c r="CV28" s="5" t="b">
        <v>1</v>
      </c>
      <c r="CW28" s="5" t="b">
        <v>0</v>
      </c>
      <c r="CX28" s="5">
        <v>1</v>
      </c>
      <c r="CY28" s="5">
        <v>2</v>
      </c>
      <c r="CZ28" s="5" t="b">
        <v>0</v>
      </c>
      <c r="DA28" s="5" t="b">
        <v>0</v>
      </c>
      <c r="DB28" s="5" t="b">
        <v>0</v>
      </c>
      <c r="DC28" s="5" t="s">
        <v>166</v>
      </c>
      <c r="DD28" s="5" t="s">
        <v>167</v>
      </c>
      <c r="DE28" s="5" t="s">
        <v>168</v>
      </c>
      <c r="DF28" s="5">
        <v>0.5</v>
      </c>
      <c r="DG28" s="5">
        <v>10</v>
      </c>
      <c r="DH28" s="5">
        <v>0.3</v>
      </c>
      <c r="DI28" s="5">
        <v>1</v>
      </c>
      <c r="DJ28" s="5">
        <v>1</v>
      </c>
      <c r="DK28" s="5" t="s">
        <v>169</v>
      </c>
      <c r="DL28" s="5" t="b">
        <v>0</v>
      </c>
      <c r="DM28" s="5">
        <v>32</v>
      </c>
      <c r="DN28" s="5">
        <v>1</v>
      </c>
      <c r="DO28" s="5" t="s">
        <v>170</v>
      </c>
      <c r="DP28" s="5" t="s">
        <v>423</v>
      </c>
      <c r="DQ28" s="5" t="s">
        <v>171</v>
      </c>
      <c r="DR28" s="5" t="s">
        <v>172</v>
      </c>
      <c r="DS28" s="7" t="str">
        <f>_xlfn.XLOOKUP(CP28,datasetmap!B:B,datasetmap!A:A)</f>
        <v>HB</v>
      </c>
      <c r="DT28" s="8">
        <f t="shared" si="0"/>
        <v>3.969410048</v>
      </c>
    </row>
    <row r="29" ht="17.6" spans="1:124">
      <c r="A29" s="5" t="s">
        <v>425</v>
      </c>
      <c r="B29" s="5">
        <v>32</v>
      </c>
      <c r="C29" s="5" t="s">
        <v>141</v>
      </c>
      <c r="D29" s="5" t="s">
        <v>426</v>
      </c>
      <c r="E29" s="5" t="s">
        <v>427</v>
      </c>
      <c r="F29" s="5" t="s">
        <v>428</v>
      </c>
      <c r="G29" s="6">
        <v>1.7791319220014e+18</v>
      </c>
      <c r="H29" s="5">
        <v>0.295883637672572</v>
      </c>
      <c r="I29" s="5">
        <v>0.259848488818382</v>
      </c>
      <c r="J29" s="5">
        <v>0.518009087</v>
      </c>
      <c r="K29" s="5">
        <v>0.295883637672572</v>
      </c>
      <c r="L29" s="6">
        <v>1.77913192200131e+18</v>
      </c>
      <c r="M29" s="5">
        <v>0.275294117647058</v>
      </c>
      <c r="N29" s="6">
        <v>1.77913192329488e+18</v>
      </c>
      <c r="O29" s="6">
        <v>1.77913183410922e+18</v>
      </c>
      <c r="P29" s="5">
        <v>85.679450839</v>
      </c>
      <c r="Q29" s="5">
        <v>0.25</v>
      </c>
      <c r="R29" s="5">
        <v>6</v>
      </c>
      <c r="S29" s="5" t="s">
        <v>145</v>
      </c>
      <c r="T29" s="5" t="s">
        <v>146</v>
      </c>
      <c r="U29" s="5" t="b">
        <v>0</v>
      </c>
      <c r="V29" s="5">
        <v>25</v>
      </c>
      <c r="W29" s="5">
        <v>0</v>
      </c>
      <c r="X29" s="5">
        <v>10</v>
      </c>
      <c r="Y29" s="5">
        <v>8</v>
      </c>
      <c r="Z29" s="5" t="b">
        <v>0</v>
      </c>
      <c r="AA29" s="5">
        <v>4</v>
      </c>
      <c r="AB29" s="5" t="b">
        <v>0</v>
      </c>
      <c r="AC29" s="5" t="b">
        <v>0</v>
      </c>
      <c r="AD29" s="5" t="s">
        <v>147</v>
      </c>
      <c r="AE29" s="5" t="s">
        <v>429</v>
      </c>
      <c r="AF29" s="5">
        <v>1</v>
      </c>
      <c r="AG29" s="5" t="b">
        <v>0</v>
      </c>
      <c r="AH29" s="5" t="b">
        <v>0</v>
      </c>
      <c r="AI29" s="5" t="s">
        <v>149</v>
      </c>
      <c r="AJ29" s="5">
        <v>3</v>
      </c>
      <c r="AK29" s="5" t="b">
        <v>0</v>
      </c>
      <c r="AL29" s="5">
        <v>26</v>
      </c>
      <c r="AM29" s="5">
        <v>0</v>
      </c>
      <c r="AN29" s="5">
        <v>0</v>
      </c>
      <c r="AO29" s="5" t="b">
        <v>0</v>
      </c>
      <c r="AP29" s="5">
        <v>0.001</v>
      </c>
      <c r="AQ29" s="5">
        <v>256</v>
      </c>
      <c r="AR29" s="5" t="b">
        <v>1</v>
      </c>
      <c r="AS29" s="5">
        <v>1</v>
      </c>
      <c r="AT29" s="5">
        <v>3</v>
      </c>
      <c r="AU29" s="5">
        <v>0.1</v>
      </c>
      <c r="AV29" s="5">
        <v>0.1</v>
      </c>
      <c r="AW29" s="5" t="b">
        <v>0</v>
      </c>
      <c r="AX29" s="5">
        <v>32</v>
      </c>
      <c r="AY29" s="5">
        <v>123</v>
      </c>
      <c r="AZ29" s="5">
        <v>1</v>
      </c>
      <c r="BA29" s="5">
        <v>16</v>
      </c>
      <c r="BB29" s="5" t="s">
        <v>244</v>
      </c>
      <c r="BC29" s="5" t="s">
        <v>151</v>
      </c>
      <c r="BD29" s="5">
        <v>10</v>
      </c>
      <c r="BE29" s="5" t="b">
        <v>0</v>
      </c>
      <c r="BF29" s="5" t="s">
        <v>152</v>
      </c>
      <c r="BG29" s="5" t="s">
        <v>430</v>
      </c>
      <c r="BH29" s="5">
        <v>0</v>
      </c>
      <c r="BI29" s="5" t="s">
        <v>154</v>
      </c>
      <c r="BJ29" s="5">
        <v>2</v>
      </c>
      <c r="BK29" s="5"/>
      <c r="BL29" s="5" t="b">
        <v>0</v>
      </c>
      <c r="BM29" s="5">
        <v>0</v>
      </c>
      <c r="BN29" s="5">
        <v>0</v>
      </c>
      <c r="BO29" s="5" t="s">
        <v>155</v>
      </c>
      <c r="BP29" s="5">
        <v>128</v>
      </c>
      <c r="BQ29" s="5" t="s">
        <v>156</v>
      </c>
      <c r="BR29" s="5">
        <v>2</v>
      </c>
      <c r="BS29" s="5" t="s">
        <v>157</v>
      </c>
      <c r="BT29" s="5">
        <v>0</v>
      </c>
      <c r="BU29" s="5">
        <v>96</v>
      </c>
      <c r="BV29" s="5" t="b">
        <v>0</v>
      </c>
      <c r="BW29" s="5">
        <v>1000</v>
      </c>
      <c r="BX29" s="5">
        <v>0.3</v>
      </c>
      <c r="BY29" s="5" t="b">
        <v>0</v>
      </c>
      <c r="BZ29" s="5" t="s">
        <v>431</v>
      </c>
      <c r="CA29" s="5" t="s">
        <v>14</v>
      </c>
      <c r="CB29" s="5" t="s">
        <v>432</v>
      </c>
      <c r="CC29" s="5" t="s">
        <v>160</v>
      </c>
      <c r="CD29" s="5">
        <v>152</v>
      </c>
      <c r="CE29" s="5">
        <v>32</v>
      </c>
      <c r="CF29" s="5" t="b">
        <v>0</v>
      </c>
      <c r="CG29" s="5" t="s">
        <v>161</v>
      </c>
      <c r="CH29" s="5">
        <v>48</v>
      </c>
      <c r="CI29" s="5">
        <v>1</v>
      </c>
      <c r="CJ29" s="5">
        <v>0.25</v>
      </c>
      <c r="CK29" s="5">
        <v>7</v>
      </c>
      <c r="CL29" s="5" t="s">
        <v>433</v>
      </c>
      <c r="CM29" s="5">
        <v>7</v>
      </c>
      <c r="CN29" s="5" t="s">
        <v>163</v>
      </c>
      <c r="CO29" s="5">
        <v>0</v>
      </c>
      <c r="CP29" s="5" t="s">
        <v>249</v>
      </c>
      <c r="CQ29" s="5" t="s">
        <v>164</v>
      </c>
      <c r="CR29" s="5" t="s">
        <v>430</v>
      </c>
      <c r="CS29" s="5">
        <v>3</v>
      </c>
      <c r="CT29" s="5" t="b">
        <v>0</v>
      </c>
      <c r="CU29" s="5" t="s">
        <v>165</v>
      </c>
      <c r="CV29" s="5" t="b">
        <v>1</v>
      </c>
      <c r="CW29" s="5" t="b">
        <v>0</v>
      </c>
      <c r="CX29" s="5">
        <v>1</v>
      </c>
      <c r="CY29" s="5">
        <v>2</v>
      </c>
      <c r="CZ29" s="5" t="b">
        <v>0</v>
      </c>
      <c r="DA29" s="5" t="b">
        <v>0</v>
      </c>
      <c r="DB29" s="5" t="b">
        <v>0</v>
      </c>
      <c r="DC29" s="5" t="s">
        <v>166</v>
      </c>
      <c r="DD29" s="5" t="s">
        <v>167</v>
      </c>
      <c r="DE29" s="5" t="s">
        <v>168</v>
      </c>
      <c r="DF29" s="5">
        <v>0.5</v>
      </c>
      <c r="DG29" s="5">
        <v>10</v>
      </c>
      <c r="DH29" s="5">
        <v>0.3</v>
      </c>
      <c r="DI29" s="5">
        <v>1</v>
      </c>
      <c r="DJ29" s="5">
        <v>1</v>
      </c>
      <c r="DK29" s="5" t="s">
        <v>169</v>
      </c>
      <c r="DL29" s="5" t="b">
        <v>0</v>
      </c>
      <c r="DM29" s="5">
        <v>32</v>
      </c>
      <c r="DN29" s="5">
        <v>1</v>
      </c>
      <c r="DO29" s="5" t="s">
        <v>170</v>
      </c>
      <c r="DP29" s="5" t="s">
        <v>432</v>
      </c>
      <c r="DQ29" s="5" t="s">
        <v>171</v>
      </c>
      <c r="DR29" s="5" t="s">
        <v>172</v>
      </c>
      <c r="DS29" s="7" t="str">
        <f>_xlfn.XLOOKUP(CP29,datasetmap!B:B,datasetmap!A:A)</f>
        <v>HW</v>
      </c>
      <c r="DT29" s="8">
        <f t="shared" si="0"/>
        <v>1.293479936</v>
      </c>
    </row>
    <row r="30" ht="17.6" spans="1:124">
      <c r="A30" s="5" t="s">
        <v>434</v>
      </c>
      <c r="B30" s="5">
        <v>32</v>
      </c>
      <c r="C30" s="5" t="s">
        <v>141</v>
      </c>
      <c r="D30" s="5" t="s">
        <v>435</v>
      </c>
      <c r="E30" s="5" t="s">
        <v>436</v>
      </c>
      <c r="F30" s="5" t="s">
        <v>437</v>
      </c>
      <c r="G30" s="6">
        <v>1.7791317789147e+18</v>
      </c>
      <c r="H30" s="5">
        <v>0.892384143519568</v>
      </c>
      <c r="I30" s="5">
        <v>0.841275127499425</v>
      </c>
      <c r="J30" s="5">
        <v>1.457775821</v>
      </c>
      <c r="K30" s="5">
        <v>0.892384143519568</v>
      </c>
      <c r="L30" s="6">
        <v>1.77913177891454e+18</v>
      </c>
      <c r="M30" s="5">
        <v>0.838150289017341</v>
      </c>
      <c r="N30" s="6">
        <v>1.77913181236618e+18</v>
      </c>
      <c r="O30" s="6">
        <v>1.77913145617194e+18</v>
      </c>
      <c r="P30" s="5">
        <v>210.574970929</v>
      </c>
      <c r="Q30" s="5">
        <v>0.25</v>
      </c>
      <c r="R30" s="5">
        <v>6</v>
      </c>
      <c r="S30" s="5" t="s">
        <v>145</v>
      </c>
      <c r="T30" s="5" t="s">
        <v>146</v>
      </c>
      <c r="U30" s="5" t="b">
        <v>0</v>
      </c>
      <c r="V30" s="5">
        <v>25</v>
      </c>
      <c r="W30" s="5">
        <v>0</v>
      </c>
      <c r="X30" s="5">
        <v>10</v>
      </c>
      <c r="Y30" s="5">
        <v>8</v>
      </c>
      <c r="Z30" s="5" t="b">
        <v>0</v>
      </c>
      <c r="AA30" s="5">
        <v>4</v>
      </c>
      <c r="AB30" s="5" t="b">
        <v>0</v>
      </c>
      <c r="AC30" s="5" t="b">
        <v>0</v>
      </c>
      <c r="AD30" s="5" t="s">
        <v>147</v>
      </c>
      <c r="AE30" s="5" t="s">
        <v>438</v>
      </c>
      <c r="AF30" s="5">
        <v>1</v>
      </c>
      <c r="AG30" s="5" t="b">
        <v>0</v>
      </c>
      <c r="AH30" s="5" t="b">
        <v>0</v>
      </c>
      <c r="AI30" s="5" t="s">
        <v>149</v>
      </c>
      <c r="AJ30" s="5">
        <v>3</v>
      </c>
      <c r="AK30" s="5" t="b">
        <v>0</v>
      </c>
      <c r="AL30" s="5">
        <v>7</v>
      </c>
      <c r="AM30" s="5">
        <v>0</v>
      </c>
      <c r="AN30" s="5">
        <v>0</v>
      </c>
      <c r="AO30" s="5" t="b">
        <v>0</v>
      </c>
      <c r="AP30" s="5">
        <v>0.001</v>
      </c>
      <c r="AQ30" s="5">
        <v>256</v>
      </c>
      <c r="AR30" s="5" t="b">
        <v>1</v>
      </c>
      <c r="AS30" s="5">
        <v>1</v>
      </c>
      <c r="AT30" s="5">
        <v>3</v>
      </c>
      <c r="AU30" s="5">
        <v>0.1</v>
      </c>
      <c r="AV30" s="5">
        <v>0.1</v>
      </c>
      <c r="AW30" s="5" t="b">
        <v>0</v>
      </c>
      <c r="AX30" s="5">
        <v>32</v>
      </c>
      <c r="AY30" s="5">
        <v>42</v>
      </c>
      <c r="AZ30" s="5">
        <v>1</v>
      </c>
      <c r="BA30" s="5">
        <v>16</v>
      </c>
      <c r="BB30" s="5" t="s">
        <v>150</v>
      </c>
      <c r="BC30" s="5" t="s">
        <v>151</v>
      </c>
      <c r="BD30" s="5">
        <v>10</v>
      </c>
      <c r="BE30" s="5" t="b">
        <v>0</v>
      </c>
      <c r="BF30" s="5" t="s">
        <v>152</v>
      </c>
      <c r="BG30" s="5" t="s">
        <v>439</v>
      </c>
      <c r="BH30" s="5">
        <v>0</v>
      </c>
      <c r="BI30" s="5" t="s">
        <v>154</v>
      </c>
      <c r="BJ30" s="5">
        <v>2</v>
      </c>
      <c r="BK30" s="5"/>
      <c r="BL30" s="5" t="b">
        <v>0</v>
      </c>
      <c r="BM30" s="5">
        <v>0</v>
      </c>
      <c r="BN30" s="5">
        <v>0</v>
      </c>
      <c r="BO30" s="5" t="s">
        <v>155</v>
      </c>
      <c r="BP30" s="5">
        <v>128</v>
      </c>
      <c r="BQ30" s="5" t="s">
        <v>156</v>
      </c>
      <c r="BR30" s="5">
        <v>2</v>
      </c>
      <c r="BS30" s="5" t="s">
        <v>157</v>
      </c>
      <c r="BT30" s="5">
        <v>0</v>
      </c>
      <c r="BU30" s="5">
        <v>96</v>
      </c>
      <c r="BV30" s="5" t="b">
        <v>0</v>
      </c>
      <c r="BW30" s="5">
        <v>1000</v>
      </c>
      <c r="BX30" s="5">
        <v>0.3</v>
      </c>
      <c r="BY30" s="5" t="b">
        <v>0</v>
      </c>
      <c r="BZ30" s="5" t="s">
        <v>440</v>
      </c>
      <c r="CA30" s="5" t="s">
        <v>14</v>
      </c>
      <c r="CB30" s="5" t="s">
        <v>441</v>
      </c>
      <c r="CC30" s="5" t="s">
        <v>160</v>
      </c>
      <c r="CD30" s="5">
        <v>144</v>
      </c>
      <c r="CE30" s="5">
        <v>32</v>
      </c>
      <c r="CF30" s="5" t="b">
        <v>0</v>
      </c>
      <c r="CG30" s="5" t="s">
        <v>161</v>
      </c>
      <c r="CH30" s="5">
        <v>48</v>
      </c>
      <c r="CI30" s="5">
        <v>1</v>
      </c>
      <c r="CJ30" s="5">
        <v>0.25</v>
      </c>
      <c r="CK30" s="5">
        <v>7</v>
      </c>
      <c r="CL30" s="5" t="s">
        <v>442</v>
      </c>
      <c r="CM30" s="5">
        <v>7</v>
      </c>
      <c r="CN30" s="5" t="s">
        <v>163</v>
      </c>
      <c r="CO30" s="5">
        <v>0</v>
      </c>
      <c r="CP30" s="5" t="s">
        <v>8</v>
      </c>
      <c r="CQ30" s="5" t="s">
        <v>164</v>
      </c>
      <c r="CR30" s="5" t="s">
        <v>439</v>
      </c>
      <c r="CS30" s="5">
        <v>963</v>
      </c>
      <c r="CT30" s="5" t="b">
        <v>0</v>
      </c>
      <c r="CU30" s="5" t="s">
        <v>165</v>
      </c>
      <c r="CV30" s="5" t="b">
        <v>1</v>
      </c>
      <c r="CW30" s="5" t="b">
        <v>0</v>
      </c>
      <c r="CX30" s="5">
        <v>1</v>
      </c>
      <c r="CY30" s="5">
        <v>2</v>
      </c>
      <c r="CZ30" s="5" t="b">
        <v>0</v>
      </c>
      <c r="DA30" s="5" t="b">
        <v>0</v>
      </c>
      <c r="DB30" s="5" t="b">
        <v>0</v>
      </c>
      <c r="DC30" s="5" t="s">
        <v>166</v>
      </c>
      <c r="DD30" s="5" t="s">
        <v>167</v>
      </c>
      <c r="DE30" s="5" t="s">
        <v>168</v>
      </c>
      <c r="DF30" s="5">
        <v>0.5</v>
      </c>
      <c r="DG30" s="5">
        <v>10</v>
      </c>
      <c r="DH30" s="5">
        <v>0.3</v>
      </c>
      <c r="DI30" s="5">
        <v>1</v>
      </c>
      <c r="DJ30" s="5">
        <v>1</v>
      </c>
      <c r="DK30" s="5" t="s">
        <v>169</v>
      </c>
      <c r="DL30" s="5" t="b">
        <v>0</v>
      </c>
      <c r="DM30" s="5">
        <v>32</v>
      </c>
      <c r="DN30" s="5">
        <v>1</v>
      </c>
      <c r="DO30" s="5" t="s">
        <v>170</v>
      </c>
      <c r="DP30" s="5" t="s">
        <v>441</v>
      </c>
      <c r="DQ30" s="5" t="s">
        <v>171</v>
      </c>
      <c r="DR30" s="5" t="s">
        <v>172</v>
      </c>
      <c r="DS30" s="7" t="str">
        <f>_xlfn.XLOOKUP(CP30,datasetmap!B:B,datasetmap!A:A)</f>
        <v>PEMS-SF</v>
      </c>
      <c r="DT30" s="8">
        <f t="shared" si="0"/>
        <v>33.451480064</v>
      </c>
    </row>
    <row r="31" ht="17.6" spans="1:124">
      <c r="A31" s="5" t="s">
        <v>443</v>
      </c>
      <c r="B31" s="5">
        <v>32</v>
      </c>
      <c r="C31" s="5" t="s">
        <v>141</v>
      </c>
      <c r="D31" s="5" t="s">
        <v>444</v>
      </c>
      <c r="E31" s="5" t="s">
        <v>445</v>
      </c>
      <c r="F31" s="5" t="s">
        <v>446</v>
      </c>
      <c r="G31" s="6">
        <v>1.77913145135088e+18</v>
      </c>
      <c r="H31" s="5">
        <v>0.438538616782148</v>
      </c>
      <c r="I31" s="5">
        <v>0.220260543535317</v>
      </c>
      <c r="J31" s="5">
        <v>1.389332071</v>
      </c>
      <c r="K31" s="5">
        <v>0.438538616782148</v>
      </c>
      <c r="L31" s="6">
        <v>1.77913145135083e+18</v>
      </c>
      <c r="M31" s="5">
        <v>0.258555133079847</v>
      </c>
      <c r="N31" s="6">
        <v>1.77913145344045e+18</v>
      </c>
      <c r="O31" s="6">
        <v>1.77913137615158e+18</v>
      </c>
      <c r="P31" s="5">
        <v>72.913077851</v>
      </c>
      <c r="Q31" s="5">
        <v>0.25</v>
      </c>
      <c r="R31" s="5">
        <v>6</v>
      </c>
      <c r="S31" s="5" t="s">
        <v>145</v>
      </c>
      <c r="T31" s="5" t="s">
        <v>146</v>
      </c>
      <c r="U31" s="5" t="b">
        <v>0</v>
      </c>
      <c r="V31" s="5">
        <v>25</v>
      </c>
      <c r="W31" s="5">
        <v>0</v>
      </c>
      <c r="X31" s="5">
        <v>10</v>
      </c>
      <c r="Y31" s="5">
        <v>8</v>
      </c>
      <c r="Z31" s="5" t="b">
        <v>0</v>
      </c>
      <c r="AA31" s="5">
        <v>4</v>
      </c>
      <c r="AB31" s="5" t="b">
        <v>0</v>
      </c>
      <c r="AC31" s="5" t="b">
        <v>0</v>
      </c>
      <c r="AD31" s="5" t="s">
        <v>147</v>
      </c>
      <c r="AE31" s="5" t="s">
        <v>447</v>
      </c>
      <c r="AF31" s="5">
        <v>1</v>
      </c>
      <c r="AG31" s="5" t="b">
        <v>0</v>
      </c>
      <c r="AH31" s="5" t="b">
        <v>0</v>
      </c>
      <c r="AI31" s="5" t="s">
        <v>149</v>
      </c>
      <c r="AJ31" s="5">
        <v>3</v>
      </c>
      <c r="AK31" s="5" t="b">
        <v>0</v>
      </c>
      <c r="AL31" s="5">
        <v>4</v>
      </c>
      <c r="AM31" s="5">
        <v>0</v>
      </c>
      <c r="AN31" s="5">
        <v>0</v>
      </c>
      <c r="AO31" s="5" t="b">
        <v>0</v>
      </c>
      <c r="AP31" s="5">
        <v>0.001</v>
      </c>
      <c r="AQ31" s="5">
        <v>256</v>
      </c>
      <c r="AR31" s="5" t="b">
        <v>1</v>
      </c>
      <c r="AS31" s="5">
        <v>1</v>
      </c>
      <c r="AT31" s="5">
        <v>3</v>
      </c>
      <c r="AU31" s="5">
        <v>0.1</v>
      </c>
      <c r="AV31" s="5">
        <v>0.1</v>
      </c>
      <c r="AW31" s="5" t="b">
        <v>0</v>
      </c>
      <c r="AX31" s="5">
        <v>32</v>
      </c>
      <c r="AY31" s="5">
        <v>123</v>
      </c>
      <c r="AZ31" s="5">
        <v>1</v>
      </c>
      <c r="BA31" s="5">
        <v>16</v>
      </c>
      <c r="BB31" s="5" t="s">
        <v>264</v>
      </c>
      <c r="BC31" s="5" t="s">
        <v>151</v>
      </c>
      <c r="BD31" s="5">
        <v>10</v>
      </c>
      <c r="BE31" s="5" t="b">
        <v>0</v>
      </c>
      <c r="BF31" s="5" t="s">
        <v>152</v>
      </c>
      <c r="BG31" s="5" t="s">
        <v>448</v>
      </c>
      <c r="BH31" s="5">
        <v>0</v>
      </c>
      <c r="BI31" s="5" t="s">
        <v>154</v>
      </c>
      <c r="BJ31" s="5">
        <v>2</v>
      </c>
      <c r="BK31" s="5"/>
      <c r="BL31" s="5" t="b">
        <v>0</v>
      </c>
      <c r="BM31" s="5">
        <v>0</v>
      </c>
      <c r="BN31" s="5">
        <v>0</v>
      </c>
      <c r="BO31" s="5" t="s">
        <v>155</v>
      </c>
      <c r="BP31" s="5">
        <v>128</v>
      </c>
      <c r="BQ31" s="5" t="s">
        <v>156</v>
      </c>
      <c r="BR31" s="5">
        <v>2</v>
      </c>
      <c r="BS31" s="5" t="s">
        <v>157</v>
      </c>
      <c r="BT31" s="5">
        <v>0</v>
      </c>
      <c r="BU31" s="5">
        <v>96</v>
      </c>
      <c r="BV31" s="5" t="b">
        <v>0</v>
      </c>
      <c r="BW31" s="5">
        <v>1000</v>
      </c>
      <c r="BX31" s="5">
        <v>0.3</v>
      </c>
      <c r="BY31" s="5" t="b">
        <v>0</v>
      </c>
      <c r="BZ31" s="5" t="s">
        <v>449</v>
      </c>
      <c r="CA31" s="5" t="s">
        <v>14</v>
      </c>
      <c r="CB31" s="5" t="s">
        <v>450</v>
      </c>
      <c r="CC31" s="5" t="s">
        <v>160</v>
      </c>
      <c r="CD31" s="5">
        <v>1751</v>
      </c>
      <c r="CE31" s="5">
        <v>32</v>
      </c>
      <c r="CF31" s="5" t="b">
        <v>0</v>
      </c>
      <c r="CG31" s="5" t="s">
        <v>161</v>
      </c>
      <c r="CH31" s="5">
        <v>48</v>
      </c>
      <c r="CI31" s="5">
        <v>1</v>
      </c>
      <c r="CJ31" s="5">
        <v>0.25</v>
      </c>
      <c r="CK31" s="5">
        <v>7</v>
      </c>
      <c r="CL31" s="5" t="s">
        <v>451</v>
      </c>
      <c r="CM31" s="5">
        <v>7</v>
      </c>
      <c r="CN31" s="5" t="s">
        <v>163</v>
      </c>
      <c r="CO31" s="5">
        <v>0</v>
      </c>
      <c r="CP31" s="5" t="s">
        <v>269</v>
      </c>
      <c r="CQ31" s="5" t="s">
        <v>164</v>
      </c>
      <c r="CR31" s="5" t="s">
        <v>448</v>
      </c>
      <c r="CS31" s="5">
        <v>3</v>
      </c>
      <c r="CT31" s="5" t="b">
        <v>0</v>
      </c>
      <c r="CU31" s="5" t="s">
        <v>165</v>
      </c>
      <c r="CV31" s="5" t="b">
        <v>1</v>
      </c>
      <c r="CW31" s="5" t="b">
        <v>0</v>
      </c>
      <c r="CX31" s="5">
        <v>1</v>
      </c>
      <c r="CY31" s="5">
        <v>2</v>
      </c>
      <c r="CZ31" s="5" t="b">
        <v>0</v>
      </c>
      <c r="DA31" s="5" t="b">
        <v>0</v>
      </c>
      <c r="DB31" s="5" t="b">
        <v>0</v>
      </c>
      <c r="DC31" s="5" t="s">
        <v>166</v>
      </c>
      <c r="DD31" s="5" t="s">
        <v>167</v>
      </c>
      <c r="DE31" s="5" t="s">
        <v>168</v>
      </c>
      <c r="DF31" s="5">
        <v>0.5</v>
      </c>
      <c r="DG31" s="5">
        <v>10</v>
      </c>
      <c r="DH31" s="5">
        <v>0.3</v>
      </c>
      <c r="DI31" s="5">
        <v>1</v>
      </c>
      <c r="DJ31" s="5">
        <v>1</v>
      </c>
      <c r="DK31" s="5" t="s">
        <v>169</v>
      </c>
      <c r="DL31" s="5" t="b">
        <v>0</v>
      </c>
      <c r="DM31" s="5">
        <v>32</v>
      </c>
      <c r="DN31" s="5">
        <v>1</v>
      </c>
      <c r="DO31" s="5" t="s">
        <v>170</v>
      </c>
      <c r="DP31" s="5" t="s">
        <v>450</v>
      </c>
      <c r="DQ31" s="5" t="s">
        <v>171</v>
      </c>
      <c r="DR31" s="5" t="s">
        <v>172</v>
      </c>
      <c r="DS31" s="7" t="str">
        <f>_xlfn.XLOOKUP(CP31,datasetmap!B:B,datasetmap!A:A)</f>
        <v>EC</v>
      </c>
      <c r="DT31" s="8">
        <f t="shared" si="0"/>
        <v>2.089570048</v>
      </c>
    </row>
    <row r="32" ht="17.6" spans="1:124">
      <c r="A32" s="5" t="s">
        <v>452</v>
      </c>
      <c r="B32" s="5">
        <v>32</v>
      </c>
      <c r="C32" s="5" t="s">
        <v>141</v>
      </c>
      <c r="D32" s="5" t="s">
        <v>453</v>
      </c>
      <c r="E32" s="5" t="s">
        <v>454</v>
      </c>
      <c r="F32" s="5" t="s">
        <v>455</v>
      </c>
      <c r="G32" s="6">
        <v>1.779131350157e+18</v>
      </c>
      <c r="H32" s="5">
        <v>0.847108216839753</v>
      </c>
      <c r="I32" s="5">
        <v>0.842094518400985</v>
      </c>
      <c r="J32" s="5">
        <v>0.403672648</v>
      </c>
      <c r="K32" s="5">
        <v>0.847108216839753</v>
      </c>
      <c r="L32" s="6">
        <v>1.77913135015693e+18</v>
      </c>
      <c r="M32" s="5">
        <v>0.84375</v>
      </c>
      <c r="N32" s="6">
        <v>1.77913135116271e+18</v>
      </c>
      <c r="O32" s="6">
        <v>1.77913132148132e+18</v>
      </c>
      <c r="P32" s="5">
        <v>27.812217397</v>
      </c>
      <c r="Q32" s="5">
        <v>0.25</v>
      </c>
      <c r="R32" s="5">
        <v>6</v>
      </c>
      <c r="S32" s="5" t="s">
        <v>145</v>
      </c>
      <c r="T32" s="5" t="s">
        <v>146</v>
      </c>
      <c r="U32" s="5" t="b">
        <v>0</v>
      </c>
      <c r="V32" s="5">
        <v>25</v>
      </c>
      <c r="W32" s="5">
        <v>0</v>
      </c>
      <c r="X32" s="5">
        <v>10</v>
      </c>
      <c r="Y32" s="5">
        <v>8</v>
      </c>
      <c r="Z32" s="5" t="b">
        <v>0</v>
      </c>
      <c r="AA32" s="5">
        <v>4</v>
      </c>
      <c r="AB32" s="5" t="b">
        <v>0</v>
      </c>
      <c r="AC32" s="5" t="b">
        <v>0</v>
      </c>
      <c r="AD32" s="5" t="s">
        <v>147</v>
      </c>
      <c r="AE32" s="5" t="s">
        <v>456</v>
      </c>
      <c r="AF32" s="5">
        <v>1</v>
      </c>
      <c r="AG32" s="5" t="b">
        <v>0</v>
      </c>
      <c r="AH32" s="5" t="b">
        <v>0</v>
      </c>
      <c r="AI32" s="5" t="s">
        <v>149</v>
      </c>
      <c r="AJ32" s="5">
        <v>3</v>
      </c>
      <c r="AK32" s="5" t="b">
        <v>0</v>
      </c>
      <c r="AL32" s="5">
        <v>8</v>
      </c>
      <c r="AM32" s="5">
        <v>0</v>
      </c>
      <c r="AN32" s="5">
        <v>0</v>
      </c>
      <c r="AO32" s="5" t="b">
        <v>0</v>
      </c>
      <c r="AP32" s="5">
        <v>0.001</v>
      </c>
      <c r="AQ32" s="5">
        <v>256</v>
      </c>
      <c r="AR32" s="5" t="b">
        <v>1</v>
      </c>
      <c r="AS32" s="5">
        <v>1</v>
      </c>
      <c r="AT32" s="5">
        <v>3</v>
      </c>
      <c r="AU32" s="5">
        <v>0.1</v>
      </c>
      <c r="AV32" s="5">
        <v>0.1</v>
      </c>
      <c r="AW32" s="5" t="b">
        <v>0</v>
      </c>
      <c r="AX32" s="5">
        <v>32</v>
      </c>
      <c r="AY32" s="5">
        <v>123</v>
      </c>
      <c r="AZ32" s="5">
        <v>1</v>
      </c>
      <c r="BA32" s="5">
        <v>16</v>
      </c>
      <c r="BB32" s="5" t="s">
        <v>275</v>
      </c>
      <c r="BC32" s="5" t="s">
        <v>151</v>
      </c>
      <c r="BD32" s="5">
        <v>10</v>
      </c>
      <c r="BE32" s="5" t="b">
        <v>0</v>
      </c>
      <c r="BF32" s="5" t="s">
        <v>152</v>
      </c>
      <c r="BG32" s="5" t="s">
        <v>457</v>
      </c>
      <c r="BH32" s="5">
        <v>0</v>
      </c>
      <c r="BI32" s="5" t="s">
        <v>154</v>
      </c>
      <c r="BJ32" s="5">
        <v>2</v>
      </c>
      <c r="BK32" s="5"/>
      <c r="BL32" s="5" t="b">
        <v>0</v>
      </c>
      <c r="BM32" s="5">
        <v>0</v>
      </c>
      <c r="BN32" s="5">
        <v>0</v>
      </c>
      <c r="BO32" s="5" t="s">
        <v>155</v>
      </c>
      <c r="BP32" s="5">
        <v>128</v>
      </c>
      <c r="BQ32" s="5" t="s">
        <v>156</v>
      </c>
      <c r="BR32" s="5">
        <v>2</v>
      </c>
      <c r="BS32" s="5" t="s">
        <v>157</v>
      </c>
      <c r="BT32" s="5">
        <v>0</v>
      </c>
      <c r="BU32" s="5">
        <v>96</v>
      </c>
      <c r="BV32" s="5" t="b">
        <v>0</v>
      </c>
      <c r="BW32" s="5">
        <v>1000</v>
      </c>
      <c r="BX32" s="5">
        <v>0.3</v>
      </c>
      <c r="BY32" s="5" t="b">
        <v>0</v>
      </c>
      <c r="BZ32" s="5" t="s">
        <v>458</v>
      </c>
      <c r="CA32" s="5" t="s">
        <v>14</v>
      </c>
      <c r="CB32" s="5" t="s">
        <v>459</v>
      </c>
      <c r="CC32" s="5" t="s">
        <v>160</v>
      </c>
      <c r="CD32" s="5">
        <v>315</v>
      </c>
      <c r="CE32" s="5">
        <v>32</v>
      </c>
      <c r="CF32" s="5" t="b">
        <v>0</v>
      </c>
      <c r="CG32" s="5" t="s">
        <v>161</v>
      </c>
      <c r="CH32" s="5">
        <v>48</v>
      </c>
      <c r="CI32" s="5">
        <v>1</v>
      </c>
      <c r="CJ32" s="5">
        <v>0.25</v>
      </c>
      <c r="CK32" s="5">
        <v>7</v>
      </c>
      <c r="CL32" s="5" t="s">
        <v>460</v>
      </c>
      <c r="CM32" s="5">
        <v>7</v>
      </c>
      <c r="CN32" s="5" t="s">
        <v>163</v>
      </c>
      <c r="CO32" s="5">
        <v>0</v>
      </c>
      <c r="CP32" s="5" t="s">
        <v>280</v>
      </c>
      <c r="CQ32" s="5" t="s">
        <v>164</v>
      </c>
      <c r="CR32" s="5" t="s">
        <v>457</v>
      </c>
      <c r="CS32" s="5">
        <v>3</v>
      </c>
      <c r="CT32" s="5" t="b">
        <v>0</v>
      </c>
      <c r="CU32" s="5" t="s">
        <v>165</v>
      </c>
      <c r="CV32" s="5" t="b">
        <v>1</v>
      </c>
      <c r="CW32" s="5" t="b">
        <v>0</v>
      </c>
      <c r="CX32" s="5">
        <v>1</v>
      </c>
      <c r="CY32" s="5">
        <v>2</v>
      </c>
      <c r="CZ32" s="5" t="b">
        <v>0</v>
      </c>
      <c r="DA32" s="5" t="b">
        <v>0</v>
      </c>
      <c r="DB32" s="5" t="b">
        <v>0</v>
      </c>
      <c r="DC32" s="5" t="s">
        <v>166</v>
      </c>
      <c r="DD32" s="5" t="s">
        <v>167</v>
      </c>
      <c r="DE32" s="5" t="s">
        <v>168</v>
      </c>
      <c r="DF32" s="5">
        <v>0.5</v>
      </c>
      <c r="DG32" s="5">
        <v>10</v>
      </c>
      <c r="DH32" s="5">
        <v>0.3</v>
      </c>
      <c r="DI32" s="5">
        <v>1</v>
      </c>
      <c r="DJ32" s="5">
        <v>1</v>
      </c>
      <c r="DK32" s="5" t="s">
        <v>169</v>
      </c>
      <c r="DL32" s="5" t="b">
        <v>0</v>
      </c>
      <c r="DM32" s="5">
        <v>32</v>
      </c>
      <c r="DN32" s="5">
        <v>1</v>
      </c>
      <c r="DO32" s="5" t="s">
        <v>170</v>
      </c>
      <c r="DP32" s="5" t="s">
        <v>459</v>
      </c>
      <c r="DQ32" s="5" t="s">
        <v>171</v>
      </c>
      <c r="DR32" s="5" t="s">
        <v>172</v>
      </c>
      <c r="DS32" s="7" t="str">
        <f>_xlfn.XLOOKUP(CP32,datasetmap!B:B,datasetmap!A:A)</f>
        <v>UWG</v>
      </c>
      <c r="DT32" s="8">
        <f t="shared" si="0"/>
        <v>1.00571008</v>
      </c>
    </row>
    <row r="33" ht="17.6" spans="1:124">
      <c r="A33" s="5" t="s">
        <v>461</v>
      </c>
      <c r="B33" s="5">
        <v>32</v>
      </c>
      <c r="C33" s="5" t="s">
        <v>141</v>
      </c>
      <c r="D33" s="5" t="s">
        <v>462</v>
      </c>
      <c r="E33" s="5" t="s">
        <v>463</v>
      </c>
      <c r="F33" s="5" t="s">
        <v>464</v>
      </c>
      <c r="G33" s="6">
        <v>1.77913121537086e+18</v>
      </c>
      <c r="H33" s="5">
        <v>0.677199680127793</v>
      </c>
      <c r="I33" s="5">
        <v>0.675772159870466</v>
      </c>
      <c r="J33" s="5">
        <v>1.653863684</v>
      </c>
      <c r="K33" s="5">
        <v>0.677199680127793</v>
      </c>
      <c r="L33" s="6">
        <v>1.77913121536915e+18</v>
      </c>
      <c r="M33" s="5">
        <v>0.67622020431328</v>
      </c>
      <c r="N33" s="6">
        <v>1.7791312962726e+18</v>
      </c>
      <c r="O33" s="6">
        <v>1.77913074144104e+18</v>
      </c>
      <c r="P33" s="5">
        <v>154.586459985</v>
      </c>
      <c r="Q33" s="5">
        <v>0.25</v>
      </c>
      <c r="R33" s="5">
        <v>6</v>
      </c>
      <c r="S33" s="5" t="s">
        <v>145</v>
      </c>
      <c r="T33" s="5" t="s">
        <v>146</v>
      </c>
      <c r="U33" s="5" t="b">
        <v>0</v>
      </c>
      <c r="V33" s="5">
        <v>25</v>
      </c>
      <c r="W33" s="5">
        <v>0</v>
      </c>
      <c r="X33" s="5">
        <v>10</v>
      </c>
      <c r="Y33" s="5">
        <v>8</v>
      </c>
      <c r="Z33" s="5" t="b">
        <v>0</v>
      </c>
      <c r="AA33" s="5">
        <v>4</v>
      </c>
      <c r="AB33" s="5" t="b">
        <v>0</v>
      </c>
      <c r="AC33" s="5" t="b">
        <v>0</v>
      </c>
      <c r="AD33" s="5" t="s">
        <v>147</v>
      </c>
      <c r="AE33" s="5" t="s">
        <v>465</v>
      </c>
      <c r="AF33" s="5">
        <v>1</v>
      </c>
      <c r="AG33" s="5" t="b">
        <v>0</v>
      </c>
      <c r="AH33" s="5" t="b">
        <v>0</v>
      </c>
      <c r="AI33" s="5" t="s">
        <v>149</v>
      </c>
      <c r="AJ33" s="5">
        <v>3</v>
      </c>
      <c r="AK33" s="5" t="b">
        <v>0</v>
      </c>
      <c r="AL33" s="5">
        <v>2</v>
      </c>
      <c r="AM33" s="5">
        <v>0</v>
      </c>
      <c r="AN33" s="5">
        <v>0</v>
      </c>
      <c r="AO33" s="5" t="b">
        <v>0</v>
      </c>
      <c r="AP33" s="5">
        <v>0.001</v>
      </c>
      <c r="AQ33" s="5">
        <v>256</v>
      </c>
      <c r="AR33" s="5" t="b">
        <v>1</v>
      </c>
      <c r="AS33" s="5">
        <v>1</v>
      </c>
      <c r="AT33" s="5">
        <v>3</v>
      </c>
      <c r="AU33" s="5">
        <v>0.1</v>
      </c>
      <c r="AV33" s="5">
        <v>0.1</v>
      </c>
      <c r="AW33" s="5" t="b">
        <v>0</v>
      </c>
      <c r="AX33" s="5">
        <v>32</v>
      </c>
      <c r="AY33" s="5">
        <v>42</v>
      </c>
      <c r="AZ33" s="5">
        <v>1</v>
      </c>
      <c r="BA33" s="5">
        <v>16</v>
      </c>
      <c r="BB33" s="5" t="s">
        <v>189</v>
      </c>
      <c r="BC33" s="5" t="s">
        <v>151</v>
      </c>
      <c r="BD33" s="5">
        <v>10</v>
      </c>
      <c r="BE33" s="5" t="b">
        <v>0</v>
      </c>
      <c r="BF33" s="5" t="s">
        <v>152</v>
      </c>
      <c r="BG33" s="5" t="s">
        <v>466</v>
      </c>
      <c r="BH33" s="5">
        <v>0</v>
      </c>
      <c r="BI33" s="5" t="s">
        <v>154</v>
      </c>
      <c r="BJ33" s="5">
        <v>2</v>
      </c>
      <c r="BK33" s="5"/>
      <c r="BL33" s="5" t="b">
        <v>0</v>
      </c>
      <c r="BM33" s="5">
        <v>0</v>
      </c>
      <c r="BN33" s="5">
        <v>0</v>
      </c>
      <c r="BO33" s="5" t="s">
        <v>155</v>
      </c>
      <c r="BP33" s="5">
        <v>128</v>
      </c>
      <c r="BQ33" s="5" t="s">
        <v>156</v>
      </c>
      <c r="BR33" s="5">
        <v>2</v>
      </c>
      <c r="BS33" s="5" t="s">
        <v>157</v>
      </c>
      <c r="BT33" s="5">
        <v>0</v>
      </c>
      <c r="BU33" s="5">
        <v>96</v>
      </c>
      <c r="BV33" s="5" t="b">
        <v>0</v>
      </c>
      <c r="BW33" s="5">
        <v>1000</v>
      </c>
      <c r="BX33" s="5">
        <v>0.3</v>
      </c>
      <c r="BY33" s="5" t="b">
        <v>0</v>
      </c>
      <c r="BZ33" s="5" t="s">
        <v>467</v>
      </c>
      <c r="CA33" s="5" t="s">
        <v>14</v>
      </c>
      <c r="CB33" s="5" t="s">
        <v>468</v>
      </c>
      <c r="CC33" s="5" t="s">
        <v>160</v>
      </c>
      <c r="CD33" s="5">
        <v>62</v>
      </c>
      <c r="CE33" s="5">
        <v>32</v>
      </c>
      <c r="CF33" s="5" t="b">
        <v>0</v>
      </c>
      <c r="CG33" s="5" t="s">
        <v>161</v>
      </c>
      <c r="CH33" s="5">
        <v>48</v>
      </c>
      <c r="CI33" s="5">
        <v>1</v>
      </c>
      <c r="CJ33" s="5">
        <v>0.25</v>
      </c>
      <c r="CK33" s="5">
        <v>7</v>
      </c>
      <c r="CL33" s="5" t="s">
        <v>469</v>
      </c>
      <c r="CM33" s="5">
        <v>7</v>
      </c>
      <c r="CN33" s="5" t="s">
        <v>163</v>
      </c>
      <c r="CO33" s="5">
        <v>0</v>
      </c>
      <c r="CP33" s="5" t="s">
        <v>194</v>
      </c>
      <c r="CQ33" s="5" t="s">
        <v>164</v>
      </c>
      <c r="CR33" s="5" t="s">
        <v>466</v>
      </c>
      <c r="CS33" s="5">
        <v>144</v>
      </c>
      <c r="CT33" s="5" t="b">
        <v>0</v>
      </c>
      <c r="CU33" s="5" t="s">
        <v>165</v>
      </c>
      <c r="CV33" s="5" t="b">
        <v>1</v>
      </c>
      <c r="CW33" s="5" t="b">
        <v>0</v>
      </c>
      <c r="CX33" s="5">
        <v>1</v>
      </c>
      <c r="CY33" s="5">
        <v>2</v>
      </c>
      <c r="CZ33" s="5" t="b">
        <v>0</v>
      </c>
      <c r="DA33" s="5" t="b">
        <v>0</v>
      </c>
      <c r="DB33" s="5" t="b">
        <v>0</v>
      </c>
      <c r="DC33" s="5" t="s">
        <v>166</v>
      </c>
      <c r="DD33" s="5" t="s">
        <v>167</v>
      </c>
      <c r="DE33" s="5" t="s">
        <v>168</v>
      </c>
      <c r="DF33" s="5">
        <v>0.5</v>
      </c>
      <c r="DG33" s="5">
        <v>10</v>
      </c>
      <c r="DH33" s="5">
        <v>0.3</v>
      </c>
      <c r="DI33" s="5">
        <v>1</v>
      </c>
      <c r="DJ33" s="5">
        <v>1</v>
      </c>
      <c r="DK33" s="5" t="s">
        <v>169</v>
      </c>
      <c r="DL33" s="5" t="b">
        <v>0</v>
      </c>
      <c r="DM33" s="5">
        <v>32</v>
      </c>
      <c r="DN33" s="5">
        <v>1</v>
      </c>
      <c r="DO33" s="5" t="s">
        <v>170</v>
      </c>
      <c r="DP33" s="5" t="s">
        <v>468</v>
      </c>
      <c r="DQ33" s="5" t="s">
        <v>171</v>
      </c>
      <c r="DR33" s="5" t="s">
        <v>172</v>
      </c>
      <c r="DS33" s="7" t="str">
        <f>_xlfn.XLOOKUP(CP33,datasetmap!B:B,datasetmap!A:A)</f>
        <v>FD</v>
      </c>
      <c r="DT33" s="8">
        <f t="shared" si="0"/>
        <v>80.901740032</v>
      </c>
    </row>
    <row r="34" ht="17.6" spans="1:124">
      <c r="A34" s="5" t="s">
        <v>470</v>
      </c>
      <c r="B34" s="5">
        <v>32</v>
      </c>
      <c r="C34" s="5" t="s">
        <v>141</v>
      </c>
      <c r="D34" s="5" t="s">
        <v>471</v>
      </c>
      <c r="E34" s="5" t="s">
        <v>472</v>
      </c>
      <c r="F34" s="5" t="s">
        <v>473</v>
      </c>
      <c r="G34" s="6">
        <v>1.77913120824564e+18</v>
      </c>
      <c r="H34" s="5">
        <v>0.969952015194644</v>
      </c>
      <c r="I34" s="5">
        <v>0.969553698356251</v>
      </c>
      <c r="J34" s="5">
        <v>0.909432524</v>
      </c>
      <c r="K34" s="5">
        <v>0.969952015194644</v>
      </c>
      <c r="L34" s="6">
        <v>1.77913120824365e+18</v>
      </c>
      <c r="M34" s="5">
        <v>0.969531605275125</v>
      </c>
      <c r="N34" s="6">
        <v>1.77913121456785e+18</v>
      </c>
      <c r="O34" s="6">
        <v>1.77913110539722e+18</v>
      </c>
      <c r="P34" s="5">
        <v>76.508789245</v>
      </c>
      <c r="Q34" s="5">
        <v>0.25</v>
      </c>
      <c r="R34" s="5">
        <v>6</v>
      </c>
      <c r="S34" s="5" t="s">
        <v>145</v>
      </c>
      <c r="T34" s="5" t="s">
        <v>146</v>
      </c>
      <c r="U34" s="5" t="b">
        <v>0</v>
      </c>
      <c r="V34" s="5">
        <v>25</v>
      </c>
      <c r="W34" s="5">
        <v>0</v>
      </c>
      <c r="X34" s="5">
        <v>10</v>
      </c>
      <c r="Y34" s="5">
        <v>8</v>
      </c>
      <c r="Z34" s="5" t="b">
        <v>0</v>
      </c>
      <c r="AA34" s="5">
        <v>4</v>
      </c>
      <c r="AB34" s="5" t="b">
        <v>0</v>
      </c>
      <c r="AC34" s="5" t="b">
        <v>0</v>
      </c>
      <c r="AD34" s="5" t="s">
        <v>147</v>
      </c>
      <c r="AE34" s="5" t="s">
        <v>474</v>
      </c>
      <c r="AF34" s="5">
        <v>1</v>
      </c>
      <c r="AG34" s="5" t="b">
        <v>0</v>
      </c>
      <c r="AH34" s="5" t="b">
        <v>0</v>
      </c>
      <c r="AI34" s="5" t="s">
        <v>149</v>
      </c>
      <c r="AJ34" s="5">
        <v>3</v>
      </c>
      <c r="AK34" s="5" t="b">
        <v>0</v>
      </c>
      <c r="AL34" s="5">
        <v>10</v>
      </c>
      <c r="AM34" s="5">
        <v>0</v>
      </c>
      <c r="AN34" s="5">
        <v>0</v>
      </c>
      <c r="AO34" s="5" t="b">
        <v>0</v>
      </c>
      <c r="AP34" s="5">
        <v>0.001</v>
      </c>
      <c r="AQ34" s="5">
        <v>256</v>
      </c>
      <c r="AR34" s="5" t="b">
        <v>1</v>
      </c>
      <c r="AS34" s="5">
        <v>1</v>
      </c>
      <c r="AT34" s="5">
        <v>3</v>
      </c>
      <c r="AU34" s="5">
        <v>0.1</v>
      </c>
      <c r="AV34" s="5">
        <v>0.1</v>
      </c>
      <c r="AW34" s="5" t="b">
        <v>0</v>
      </c>
      <c r="AX34" s="5">
        <v>32</v>
      </c>
      <c r="AY34" s="5">
        <v>42</v>
      </c>
      <c r="AZ34" s="5">
        <v>1</v>
      </c>
      <c r="BA34" s="5">
        <v>16</v>
      </c>
      <c r="BB34" s="5" t="s">
        <v>178</v>
      </c>
      <c r="BC34" s="5" t="s">
        <v>151</v>
      </c>
      <c r="BD34" s="5">
        <v>10</v>
      </c>
      <c r="BE34" s="5" t="b">
        <v>0</v>
      </c>
      <c r="BF34" s="5" t="s">
        <v>152</v>
      </c>
      <c r="BG34" s="5" t="s">
        <v>475</v>
      </c>
      <c r="BH34" s="5">
        <v>0</v>
      </c>
      <c r="BI34" s="5" t="s">
        <v>154</v>
      </c>
      <c r="BJ34" s="5">
        <v>2</v>
      </c>
      <c r="BK34" s="5"/>
      <c r="BL34" s="5" t="b">
        <v>0</v>
      </c>
      <c r="BM34" s="5">
        <v>0</v>
      </c>
      <c r="BN34" s="5">
        <v>0</v>
      </c>
      <c r="BO34" s="5" t="s">
        <v>155</v>
      </c>
      <c r="BP34" s="5">
        <v>128</v>
      </c>
      <c r="BQ34" s="5" t="s">
        <v>156</v>
      </c>
      <c r="BR34" s="5">
        <v>2</v>
      </c>
      <c r="BS34" s="5" t="s">
        <v>157</v>
      </c>
      <c r="BT34" s="5">
        <v>0</v>
      </c>
      <c r="BU34" s="5">
        <v>96</v>
      </c>
      <c r="BV34" s="5" t="b">
        <v>0</v>
      </c>
      <c r="BW34" s="5">
        <v>1000</v>
      </c>
      <c r="BX34" s="5">
        <v>0.3</v>
      </c>
      <c r="BY34" s="5" t="b">
        <v>0</v>
      </c>
      <c r="BZ34" s="5" t="s">
        <v>476</v>
      </c>
      <c r="CA34" s="5" t="s">
        <v>14</v>
      </c>
      <c r="CB34" s="5" t="s">
        <v>477</v>
      </c>
      <c r="CC34" s="5" t="s">
        <v>160</v>
      </c>
      <c r="CD34" s="5">
        <v>93</v>
      </c>
      <c r="CE34" s="5">
        <v>32</v>
      </c>
      <c r="CF34" s="5" t="b">
        <v>0</v>
      </c>
      <c r="CG34" s="5" t="s">
        <v>161</v>
      </c>
      <c r="CH34" s="5">
        <v>48</v>
      </c>
      <c r="CI34" s="5">
        <v>1</v>
      </c>
      <c r="CJ34" s="5">
        <v>0.25</v>
      </c>
      <c r="CK34" s="5">
        <v>7</v>
      </c>
      <c r="CL34" s="5" t="s">
        <v>478</v>
      </c>
      <c r="CM34" s="5">
        <v>7</v>
      </c>
      <c r="CN34" s="5" t="s">
        <v>163</v>
      </c>
      <c r="CO34" s="5">
        <v>0</v>
      </c>
      <c r="CP34" s="5" t="s">
        <v>183</v>
      </c>
      <c r="CQ34" s="5" t="s">
        <v>164</v>
      </c>
      <c r="CR34" s="5" t="s">
        <v>475</v>
      </c>
      <c r="CS34" s="5">
        <v>13</v>
      </c>
      <c r="CT34" s="5" t="b">
        <v>0</v>
      </c>
      <c r="CU34" s="5" t="s">
        <v>165</v>
      </c>
      <c r="CV34" s="5" t="b">
        <v>1</v>
      </c>
      <c r="CW34" s="5" t="b">
        <v>0</v>
      </c>
      <c r="CX34" s="5">
        <v>1</v>
      </c>
      <c r="CY34" s="5">
        <v>2</v>
      </c>
      <c r="CZ34" s="5" t="b">
        <v>0</v>
      </c>
      <c r="DA34" s="5" t="b">
        <v>0</v>
      </c>
      <c r="DB34" s="5" t="b">
        <v>0</v>
      </c>
      <c r="DC34" s="5" t="s">
        <v>166</v>
      </c>
      <c r="DD34" s="5" t="s">
        <v>167</v>
      </c>
      <c r="DE34" s="5" t="s">
        <v>168</v>
      </c>
      <c r="DF34" s="5">
        <v>0.5</v>
      </c>
      <c r="DG34" s="5">
        <v>10</v>
      </c>
      <c r="DH34" s="5">
        <v>0.3</v>
      </c>
      <c r="DI34" s="5">
        <v>1</v>
      </c>
      <c r="DJ34" s="5">
        <v>1</v>
      </c>
      <c r="DK34" s="5" t="s">
        <v>169</v>
      </c>
      <c r="DL34" s="5" t="b">
        <v>0</v>
      </c>
      <c r="DM34" s="5">
        <v>32</v>
      </c>
      <c r="DN34" s="5">
        <v>1</v>
      </c>
      <c r="DO34" s="5" t="s">
        <v>170</v>
      </c>
      <c r="DP34" s="5" t="s">
        <v>477</v>
      </c>
      <c r="DQ34" s="5" t="s">
        <v>171</v>
      </c>
      <c r="DR34" s="5" t="s">
        <v>172</v>
      </c>
      <c r="DS34" s="7" t="str">
        <f>_xlfn.XLOOKUP(CP34,datasetmap!B:B,datasetmap!A:A)</f>
        <v>SAD</v>
      </c>
      <c r="DT34" s="8">
        <f t="shared" si="0"/>
        <v>6.322210048</v>
      </c>
    </row>
    <row r="35" ht="17.6" spans="1:124">
      <c r="A35" s="5" t="s">
        <v>479</v>
      </c>
      <c r="B35" s="5">
        <v>32</v>
      </c>
      <c r="C35" s="5" t="s">
        <v>141</v>
      </c>
      <c r="D35" s="5" t="s">
        <v>480</v>
      </c>
      <c r="E35" s="5" t="s">
        <v>481</v>
      </c>
      <c r="F35" s="5" t="s">
        <v>482</v>
      </c>
      <c r="G35" s="6">
        <v>1.77913092165727e+18</v>
      </c>
      <c r="H35" s="5">
        <v>0.511133102424542</v>
      </c>
      <c r="I35" s="5">
        <v>0.510869565217391</v>
      </c>
      <c r="J35" s="5">
        <v>0.82035997</v>
      </c>
      <c r="K35" s="5">
        <v>0.511133102424542</v>
      </c>
      <c r="L35" s="6">
        <v>1.77913092165719e+18</v>
      </c>
      <c r="M35" s="5">
        <v>0.511111111111111</v>
      </c>
      <c r="N35" s="6">
        <v>1.77913092316583e+18</v>
      </c>
      <c r="O35" s="6">
        <v>1.77913086658262e+18</v>
      </c>
      <c r="P35" s="5">
        <v>52.786768747</v>
      </c>
      <c r="Q35" s="5">
        <v>0.25</v>
      </c>
      <c r="R35" s="5">
        <v>6</v>
      </c>
      <c r="S35" s="5" t="s">
        <v>145</v>
      </c>
      <c r="T35" s="5" t="s">
        <v>146</v>
      </c>
      <c r="U35" s="5" t="b">
        <v>0</v>
      </c>
      <c r="V35" s="5">
        <v>25</v>
      </c>
      <c r="W35" s="5">
        <v>0</v>
      </c>
      <c r="X35" s="5">
        <v>10</v>
      </c>
      <c r="Y35" s="5">
        <v>8</v>
      </c>
      <c r="Z35" s="5" t="b">
        <v>0</v>
      </c>
      <c r="AA35" s="5">
        <v>4</v>
      </c>
      <c r="AB35" s="5" t="b">
        <v>0</v>
      </c>
      <c r="AC35" s="5" t="b">
        <v>0</v>
      </c>
      <c r="AD35" s="5" t="s">
        <v>147</v>
      </c>
      <c r="AE35" s="5" t="s">
        <v>483</v>
      </c>
      <c r="AF35" s="5">
        <v>1</v>
      </c>
      <c r="AG35" s="5" t="b">
        <v>0</v>
      </c>
      <c r="AH35" s="5" t="b">
        <v>0</v>
      </c>
      <c r="AI35" s="5" t="s">
        <v>149</v>
      </c>
      <c r="AJ35" s="5">
        <v>3</v>
      </c>
      <c r="AK35" s="5" t="b">
        <v>0</v>
      </c>
      <c r="AL35" s="5">
        <v>2</v>
      </c>
      <c r="AM35" s="5">
        <v>0</v>
      </c>
      <c r="AN35" s="5">
        <v>0</v>
      </c>
      <c r="AO35" s="5" t="b">
        <v>0</v>
      </c>
      <c r="AP35" s="5">
        <v>0.001</v>
      </c>
      <c r="AQ35" s="5">
        <v>256</v>
      </c>
      <c r="AR35" s="5" t="b">
        <v>1</v>
      </c>
      <c r="AS35" s="5">
        <v>1</v>
      </c>
      <c r="AT35" s="5">
        <v>3</v>
      </c>
      <c r="AU35" s="5">
        <v>0.1</v>
      </c>
      <c r="AV35" s="5">
        <v>0.1</v>
      </c>
      <c r="AW35" s="5" t="b">
        <v>0</v>
      </c>
      <c r="AX35" s="5">
        <v>32</v>
      </c>
      <c r="AY35" s="5">
        <v>42</v>
      </c>
      <c r="AZ35" s="5">
        <v>1</v>
      </c>
      <c r="BA35" s="5">
        <v>16</v>
      </c>
      <c r="BB35" s="5" t="s">
        <v>200</v>
      </c>
      <c r="BC35" s="5" t="s">
        <v>151</v>
      </c>
      <c r="BD35" s="5">
        <v>10</v>
      </c>
      <c r="BE35" s="5" t="b">
        <v>0</v>
      </c>
      <c r="BF35" s="5" t="s">
        <v>152</v>
      </c>
      <c r="BG35" s="5" t="s">
        <v>484</v>
      </c>
      <c r="BH35" s="5">
        <v>0</v>
      </c>
      <c r="BI35" s="5" t="s">
        <v>154</v>
      </c>
      <c r="BJ35" s="5">
        <v>2</v>
      </c>
      <c r="BK35" s="5"/>
      <c r="BL35" s="5" t="b">
        <v>0</v>
      </c>
      <c r="BM35" s="5">
        <v>0</v>
      </c>
      <c r="BN35" s="5">
        <v>0</v>
      </c>
      <c r="BO35" s="5" t="s">
        <v>155</v>
      </c>
      <c r="BP35" s="5">
        <v>128</v>
      </c>
      <c r="BQ35" s="5" t="s">
        <v>156</v>
      </c>
      <c r="BR35" s="5">
        <v>2</v>
      </c>
      <c r="BS35" s="5" t="s">
        <v>157</v>
      </c>
      <c r="BT35" s="5">
        <v>0</v>
      </c>
      <c r="BU35" s="5">
        <v>96</v>
      </c>
      <c r="BV35" s="5" t="b">
        <v>0</v>
      </c>
      <c r="BW35" s="5">
        <v>1000</v>
      </c>
      <c r="BX35" s="5">
        <v>0.3</v>
      </c>
      <c r="BY35" s="5" t="b">
        <v>0</v>
      </c>
      <c r="BZ35" s="5" t="s">
        <v>485</v>
      </c>
      <c r="CA35" s="5" t="s">
        <v>14</v>
      </c>
      <c r="CB35" s="5" t="s">
        <v>486</v>
      </c>
      <c r="CC35" s="5" t="s">
        <v>160</v>
      </c>
      <c r="CD35" s="5">
        <v>1152</v>
      </c>
      <c r="CE35" s="5">
        <v>32</v>
      </c>
      <c r="CF35" s="5" t="b">
        <v>0</v>
      </c>
      <c r="CG35" s="5" t="s">
        <v>161</v>
      </c>
      <c r="CH35" s="5">
        <v>48</v>
      </c>
      <c r="CI35" s="5">
        <v>1</v>
      </c>
      <c r="CJ35" s="5">
        <v>0.25</v>
      </c>
      <c r="CK35" s="5">
        <v>7</v>
      </c>
      <c r="CL35" s="5" t="s">
        <v>487</v>
      </c>
      <c r="CM35" s="5">
        <v>7</v>
      </c>
      <c r="CN35" s="5" t="s">
        <v>163</v>
      </c>
      <c r="CO35" s="5">
        <v>0</v>
      </c>
      <c r="CP35" s="5" t="s">
        <v>205</v>
      </c>
      <c r="CQ35" s="5" t="s">
        <v>164</v>
      </c>
      <c r="CR35" s="5" t="s">
        <v>484</v>
      </c>
      <c r="CS35" s="5">
        <v>7</v>
      </c>
      <c r="CT35" s="5" t="b">
        <v>0</v>
      </c>
      <c r="CU35" s="5" t="s">
        <v>165</v>
      </c>
      <c r="CV35" s="5" t="b">
        <v>1</v>
      </c>
      <c r="CW35" s="5" t="b">
        <v>0</v>
      </c>
      <c r="CX35" s="5">
        <v>1</v>
      </c>
      <c r="CY35" s="5">
        <v>2</v>
      </c>
      <c r="CZ35" s="5" t="b">
        <v>0</v>
      </c>
      <c r="DA35" s="5" t="b">
        <v>0</v>
      </c>
      <c r="DB35" s="5" t="b">
        <v>0</v>
      </c>
      <c r="DC35" s="5" t="s">
        <v>166</v>
      </c>
      <c r="DD35" s="5" t="s">
        <v>167</v>
      </c>
      <c r="DE35" s="5" t="s">
        <v>168</v>
      </c>
      <c r="DF35" s="5">
        <v>0.5</v>
      </c>
      <c r="DG35" s="5">
        <v>10</v>
      </c>
      <c r="DH35" s="5">
        <v>0.3</v>
      </c>
      <c r="DI35" s="5">
        <v>1</v>
      </c>
      <c r="DJ35" s="5">
        <v>1</v>
      </c>
      <c r="DK35" s="5" t="s">
        <v>169</v>
      </c>
      <c r="DL35" s="5" t="b">
        <v>0</v>
      </c>
      <c r="DM35" s="5">
        <v>32</v>
      </c>
      <c r="DN35" s="5">
        <v>1</v>
      </c>
      <c r="DO35" s="5" t="s">
        <v>170</v>
      </c>
      <c r="DP35" s="5" t="s">
        <v>486</v>
      </c>
      <c r="DQ35" s="5" t="s">
        <v>171</v>
      </c>
      <c r="DR35" s="5" t="s">
        <v>172</v>
      </c>
      <c r="DS35" s="7" t="str">
        <f>_xlfn.XLOOKUP(CP35,datasetmap!B:B,datasetmap!A:A)</f>
        <v>SRS2</v>
      </c>
      <c r="DT35" s="8">
        <f t="shared" si="0"/>
        <v>1.508559872</v>
      </c>
    </row>
    <row r="36" ht="17.6" spans="1:124">
      <c r="A36" s="5" t="s">
        <v>488</v>
      </c>
      <c r="B36" s="5">
        <v>32</v>
      </c>
      <c r="C36" s="5" t="s">
        <v>141</v>
      </c>
      <c r="D36" s="5" t="s">
        <v>489</v>
      </c>
      <c r="E36" s="5" t="s">
        <v>490</v>
      </c>
      <c r="F36" s="5" t="s">
        <v>491</v>
      </c>
      <c r="G36" s="6">
        <v>1.77913083474154e+18</v>
      </c>
      <c r="H36" s="5">
        <v>0.867565786507766</v>
      </c>
      <c r="I36" s="5">
        <v>0.851739311002783</v>
      </c>
      <c r="J36" s="5">
        <v>0.474784022</v>
      </c>
      <c r="K36" s="5">
        <v>0.867565786507766</v>
      </c>
      <c r="L36" s="6">
        <v>1.77913083474146e+18</v>
      </c>
      <c r="M36" s="5">
        <v>0.853242320819112</v>
      </c>
      <c r="N36" s="6">
        <v>1.7791308360313e+18</v>
      </c>
      <c r="O36" s="6">
        <v>1.77913081625371e+18</v>
      </c>
      <c r="P36" s="5">
        <v>15.938575864</v>
      </c>
      <c r="Q36" s="5">
        <v>0.25</v>
      </c>
      <c r="R36" s="5">
        <v>6</v>
      </c>
      <c r="S36" s="5" t="s">
        <v>145</v>
      </c>
      <c r="T36" s="5" t="s">
        <v>146</v>
      </c>
      <c r="U36" s="5" t="b">
        <v>0</v>
      </c>
      <c r="V36" s="5">
        <v>25</v>
      </c>
      <c r="W36" s="5">
        <v>0</v>
      </c>
      <c r="X36" s="5">
        <v>10</v>
      </c>
      <c r="Y36" s="5">
        <v>8</v>
      </c>
      <c r="Z36" s="5" t="b">
        <v>0</v>
      </c>
      <c r="AA36" s="5">
        <v>4</v>
      </c>
      <c r="AB36" s="5" t="b">
        <v>0</v>
      </c>
      <c r="AC36" s="5" t="b">
        <v>0</v>
      </c>
      <c r="AD36" s="5" t="s">
        <v>147</v>
      </c>
      <c r="AE36" s="5" t="s">
        <v>492</v>
      </c>
      <c r="AF36" s="5">
        <v>1</v>
      </c>
      <c r="AG36" s="5" t="b">
        <v>0</v>
      </c>
      <c r="AH36" s="5" t="b">
        <v>0</v>
      </c>
      <c r="AI36" s="5" t="s">
        <v>149</v>
      </c>
      <c r="AJ36" s="5">
        <v>3</v>
      </c>
      <c r="AK36" s="5" t="b">
        <v>0</v>
      </c>
      <c r="AL36" s="5">
        <v>2</v>
      </c>
      <c r="AM36" s="5">
        <v>0</v>
      </c>
      <c r="AN36" s="5">
        <v>0</v>
      </c>
      <c r="AO36" s="5" t="b">
        <v>0</v>
      </c>
      <c r="AP36" s="5">
        <v>0.001</v>
      </c>
      <c r="AQ36" s="5">
        <v>256</v>
      </c>
      <c r="AR36" s="5" t="b">
        <v>1</v>
      </c>
      <c r="AS36" s="5">
        <v>1</v>
      </c>
      <c r="AT36" s="5">
        <v>3</v>
      </c>
      <c r="AU36" s="5">
        <v>0.1</v>
      </c>
      <c r="AV36" s="5">
        <v>0.1</v>
      </c>
      <c r="AW36" s="5" t="b">
        <v>0</v>
      </c>
      <c r="AX36" s="5">
        <v>32</v>
      </c>
      <c r="AY36" s="5">
        <v>42</v>
      </c>
      <c r="AZ36" s="5">
        <v>1</v>
      </c>
      <c r="BA36" s="5">
        <v>16</v>
      </c>
      <c r="BB36" s="5" t="s">
        <v>211</v>
      </c>
      <c r="BC36" s="5" t="s">
        <v>151</v>
      </c>
      <c r="BD36" s="5">
        <v>10</v>
      </c>
      <c r="BE36" s="5" t="b">
        <v>0</v>
      </c>
      <c r="BF36" s="5" t="s">
        <v>152</v>
      </c>
      <c r="BG36" s="5" t="s">
        <v>493</v>
      </c>
      <c r="BH36" s="5">
        <v>0</v>
      </c>
      <c r="BI36" s="5" t="s">
        <v>154</v>
      </c>
      <c r="BJ36" s="5">
        <v>2</v>
      </c>
      <c r="BK36" s="5"/>
      <c r="BL36" s="5" t="b">
        <v>0</v>
      </c>
      <c r="BM36" s="5">
        <v>0</v>
      </c>
      <c r="BN36" s="5">
        <v>0</v>
      </c>
      <c r="BO36" s="5" t="s">
        <v>155</v>
      </c>
      <c r="BP36" s="5">
        <v>128</v>
      </c>
      <c r="BQ36" s="5" t="s">
        <v>156</v>
      </c>
      <c r="BR36" s="5">
        <v>2</v>
      </c>
      <c r="BS36" s="5" t="s">
        <v>157</v>
      </c>
      <c r="BT36" s="5">
        <v>0</v>
      </c>
      <c r="BU36" s="5">
        <v>96</v>
      </c>
      <c r="BV36" s="5" t="b">
        <v>0</v>
      </c>
      <c r="BW36" s="5">
        <v>1000</v>
      </c>
      <c r="BX36" s="5">
        <v>0.3</v>
      </c>
      <c r="BY36" s="5" t="b">
        <v>0</v>
      </c>
      <c r="BZ36" s="5" t="s">
        <v>494</v>
      </c>
      <c r="CA36" s="5" t="s">
        <v>14</v>
      </c>
      <c r="CB36" s="5" t="s">
        <v>495</v>
      </c>
      <c r="CC36" s="5" t="s">
        <v>160</v>
      </c>
      <c r="CD36" s="5">
        <v>896</v>
      </c>
      <c r="CE36" s="5">
        <v>32</v>
      </c>
      <c r="CF36" s="5" t="b">
        <v>0</v>
      </c>
      <c r="CG36" s="5" t="s">
        <v>161</v>
      </c>
      <c r="CH36" s="5">
        <v>48</v>
      </c>
      <c r="CI36" s="5">
        <v>1</v>
      </c>
      <c r="CJ36" s="5">
        <v>0.25</v>
      </c>
      <c r="CK36" s="5">
        <v>7</v>
      </c>
      <c r="CL36" s="5" t="s">
        <v>496</v>
      </c>
      <c r="CM36" s="5">
        <v>7</v>
      </c>
      <c r="CN36" s="5" t="s">
        <v>163</v>
      </c>
      <c r="CO36" s="5">
        <v>0</v>
      </c>
      <c r="CP36" s="5" t="s">
        <v>216</v>
      </c>
      <c r="CQ36" s="5" t="s">
        <v>164</v>
      </c>
      <c r="CR36" s="5" t="s">
        <v>493</v>
      </c>
      <c r="CS36" s="5">
        <v>6</v>
      </c>
      <c r="CT36" s="5" t="b">
        <v>0</v>
      </c>
      <c r="CU36" s="5" t="s">
        <v>165</v>
      </c>
      <c r="CV36" s="5" t="b">
        <v>1</v>
      </c>
      <c r="CW36" s="5" t="b">
        <v>0</v>
      </c>
      <c r="CX36" s="5">
        <v>1</v>
      </c>
      <c r="CY36" s="5">
        <v>2</v>
      </c>
      <c r="CZ36" s="5" t="b">
        <v>0</v>
      </c>
      <c r="DA36" s="5" t="b">
        <v>0</v>
      </c>
      <c r="DB36" s="5" t="b">
        <v>0</v>
      </c>
      <c r="DC36" s="5" t="s">
        <v>166</v>
      </c>
      <c r="DD36" s="5" t="s">
        <v>167</v>
      </c>
      <c r="DE36" s="5" t="s">
        <v>168</v>
      </c>
      <c r="DF36" s="5">
        <v>0.5</v>
      </c>
      <c r="DG36" s="5">
        <v>10</v>
      </c>
      <c r="DH36" s="5">
        <v>0.3</v>
      </c>
      <c r="DI36" s="5">
        <v>1</v>
      </c>
      <c r="DJ36" s="5">
        <v>1</v>
      </c>
      <c r="DK36" s="5" t="s">
        <v>169</v>
      </c>
      <c r="DL36" s="5" t="b">
        <v>0</v>
      </c>
      <c r="DM36" s="5">
        <v>32</v>
      </c>
      <c r="DN36" s="5">
        <v>1</v>
      </c>
      <c r="DO36" s="5" t="s">
        <v>170</v>
      </c>
      <c r="DP36" s="5" t="s">
        <v>495</v>
      </c>
      <c r="DQ36" s="5" t="s">
        <v>171</v>
      </c>
      <c r="DR36" s="5" t="s">
        <v>172</v>
      </c>
      <c r="DS36" s="7" t="str">
        <f>_xlfn.XLOOKUP(CP36,datasetmap!B:B,datasetmap!A:A)</f>
        <v>SRS1</v>
      </c>
      <c r="DT36" s="8">
        <f t="shared" si="0"/>
        <v>1.28976</v>
      </c>
    </row>
    <row r="37" ht="17.6" spans="1:124">
      <c r="A37" s="5" t="s">
        <v>497</v>
      </c>
      <c r="B37" s="5">
        <v>32</v>
      </c>
      <c r="C37" s="5" t="s">
        <v>141</v>
      </c>
      <c r="D37" s="5" t="s">
        <v>498</v>
      </c>
      <c r="E37" s="5" t="s">
        <v>499</v>
      </c>
      <c r="F37" s="5" t="s">
        <v>500</v>
      </c>
      <c r="G37" s="6">
        <v>1.77913078620889e+18</v>
      </c>
      <c r="H37" s="5">
        <v>0.950674516633823</v>
      </c>
      <c r="I37" s="5">
        <v>0.949058687655042</v>
      </c>
      <c r="J37" s="5">
        <v>0.406670911</v>
      </c>
      <c r="K37" s="5">
        <v>0.950674516633823</v>
      </c>
      <c r="L37" s="6">
        <v>1.77913078620882e+18</v>
      </c>
      <c r="M37" s="5">
        <v>0.948648648648648</v>
      </c>
      <c r="N37" s="6">
        <v>1.77913078728922e+18</v>
      </c>
      <c r="O37" s="6">
        <v>1.77913075699203e+18</v>
      </c>
      <c r="P37" s="5">
        <v>26.953673279</v>
      </c>
      <c r="Q37" s="5">
        <v>0.25</v>
      </c>
      <c r="R37" s="5">
        <v>6</v>
      </c>
      <c r="S37" s="5" t="s">
        <v>145</v>
      </c>
      <c r="T37" s="5" t="s">
        <v>146</v>
      </c>
      <c r="U37" s="5" t="b">
        <v>0</v>
      </c>
      <c r="V37" s="5">
        <v>25</v>
      </c>
      <c r="W37" s="5">
        <v>0</v>
      </c>
      <c r="X37" s="5">
        <v>10</v>
      </c>
      <c r="Y37" s="5">
        <v>8</v>
      </c>
      <c r="Z37" s="5" t="b">
        <v>0</v>
      </c>
      <c r="AA37" s="5">
        <v>4</v>
      </c>
      <c r="AB37" s="5" t="b">
        <v>0</v>
      </c>
      <c r="AC37" s="5" t="b">
        <v>0</v>
      </c>
      <c r="AD37" s="5" t="s">
        <v>147</v>
      </c>
      <c r="AE37" s="5" t="s">
        <v>501</v>
      </c>
      <c r="AF37" s="5">
        <v>1</v>
      </c>
      <c r="AG37" s="5" t="b">
        <v>0</v>
      </c>
      <c r="AH37" s="5" t="b">
        <v>0</v>
      </c>
      <c r="AI37" s="5" t="s">
        <v>149</v>
      </c>
      <c r="AJ37" s="5">
        <v>3</v>
      </c>
      <c r="AK37" s="5" t="b">
        <v>0</v>
      </c>
      <c r="AL37" s="5">
        <v>9</v>
      </c>
      <c r="AM37" s="5">
        <v>0</v>
      </c>
      <c r="AN37" s="5">
        <v>0</v>
      </c>
      <c r="AO37" s="5" t="b">
        <v>0</v>
      </c>
      <c r="AP37" s="5">
        <v>0.001</v>
      </c>
      <c r="AQ37" s="5">
        <v>256</v>
      </c>
      <c r="AR37" s="5" t="b">
        <v>1</v>
      </c>
      <c r="AS37" s="5">
        <v>1</v>
      </c>
      <c r="AT37" s="5">
        <v>3</v>
      </c>
      <c r="AU37" s="5">
        <v>0.1</v>
      </c>
      <c r="AV37" s="5">
        <v>0.1</v>
      </c>
      <c r="AW37" s="5" t="b">
        <v>0</v>
      </c>
      <c r="AX37" s="5">
        <v>32</v>
      </c>
      <c r="AY37" s="5">
        <v>42</v>
      </c>
      <c r="AZ37" s="5">
        <v>1</v>
      </c>
      <c r="BA37" s="5">
        <v>16</v>
      </c>
      <c r="BB37" s="5" t="s">
        <v>222</v>
      </c>
      <c r="BC37" s="5" t="s">
        <v>151</v>
      </c>
      <c r="BD37" s="5">
        <v>10</v>
      </c>
      <c r="BE37" s="5" t="b">
        <v>0</v>
      </c>
      <c r="BF37" s="5" t="s">
        <v>152</v>
      </c>
      <c r="BG37" s="5" t="s">
        <v>502</v>
      </c>
      <c r="BH37" s="5">
        <v>0</v>
      </c>
      <c r="BI37" s="5" t="s">
        <v>154</v>
      </c>
      <c r="BJ37" s="5">
        <v>2</v>
      </c>
      <c r="BK37" s="5"/>
      <c r="BL37" s="5" t="b">
        <v>0</v>
      </c>
      <c r="BM37" s="5">
        <v>0</v>
      </c>
      <c r="BN37" s="5">
        <v>0</v>
      </c>
      <c r="BO37" s="5" t="s">
        <v>155</v>
      </c>
      <c r="BP37" s="5">
        <v>128</v>
      </c>
      <c r="BQ37" s="5" t="s">
        <v>156</v>
      </c>
      <c r="BR37" s="5">
        <v>2</v>
      </c>
      <c r="BS37" s="5" t="s">
        <v>157</v>
      </c>
      <c r="BT37" s="5">
        <v>0</v>
      </c>
      <c r="BU37" s="5">
        <v>96</v>
      </c>
      <c r="BV37" s="5" t="b">
        <v>0</v>
      </c>
      <c r="BW37" s="5">
        <v>1000</v>
      </c>
      <c r="BX37" s="5">
        <v>0.3</v>
      </c>
      <c r="BY37" s="5" t="b">
        <v>0</v>
      </c>
      <c r="BZ37" s="5" t="s">
        <v>503</v>
      </c>
      <c r="CA37" s="5" t="s">
        <v>14</v>
      </c>
      <c r="CB37" s="5" t="s">
        <v>504</v>
      </c>
      <c r="CC37" s="5" t="s">
        <v>160</v>
      </c>
      <c r="CD37" s="5">
        <v>29</v>
      </c>
      <c r="CE37" s="5">
        <v>32</v>
      </c>
      <c r="CF37" s="5" t="b">
        <v>0</v>
      </c>
      <c r="CG37" s="5" t="s">
        <v>161</v>
      </c>
      <c r="CH37" s="5">
        <v>48</v>
      </c>
      <c r="CI37" s="5">
        <v>1</v>
      </c>
      <c r="CJ37" s="5">
        <v>0.25</v>
      </c>
      <c r="CK37" s="5">
        <v>7</v>
      </c>
      <c r="CL37" s="5" t="s">
        <v>505</v>
      </c>
      <c r="CM37" s="5">
        <v>7</v>
      </c>
      <c r="CN37" s="5" t="s">
        <v>163</v>
      </c>
      <c r="CO37" s="5">
        <v>0</v>
      </c>
      <c r="CP37" s="5" t="s">
        <v>227</v>
      </c>
      <c r="CQ37" s="5" t="s">
        <v>164</v>
      </c>
      <c r="CR37" s="5" t="s">
        <v>502</v>
      </c>
      <c r="CS37" s="5">
        <v>12</v>
      </c>
      <c r="CT37" s="5" t="b">
        <v>0</v>
      </c>
      <c r="CU37" s="5" t="s">
        <v>165</v>
      </c>
      <c r="CV37" s="5" t="b">
        <v>1</v>
      </c>
      <c r="CW37" s="5" t="b">
        <v>0</v>
      </c>
      <c r="CX37" s="5">
        <v>1</v>
      </c>
      <c r="CY37" s="5">
        <v>2</v>
      </c>
      <c r="CZ37" s="5" t="b">
        <v>0</v>
      </c>
      <c r="DA37" s="5" t="b">
        <v>0</v>
      </c>
      <c r="DB37" s="5" t="b">
        <v>0</v>
      </c>
      <c r="DC37" s="5" t="s">
        <v>166</v>
      </c>
      <c r="DD37" s="5" t="s">
        <v>167</v>
      </c>
      <c r="DE37" s="5" t="s">
        <v>168</v>
      </c>
      <c r="DF37" s="5">
        <v>0.5</v>
      </c>
      <c r="DG37" s="5">
        <v>10</v>
      </c>
      <c r="DH37" s="5">
        <v>0.3</v>
      </c>
      <c r="DI37" s="5">
        <v>1</v>
      </c>
      <c r="DJ37" s="5">
        <v>1</v>
      </c>
      <c r="DK37" s="5" t="s">
        <v>169</v>
      </c>
      <c r="DL37" s="5" t="b">
        <v>0</v>
      </c>
      <c r="DM37" s="5">
        <v>32</v>
      </c>
      <c r="DN37" s="5">
        <v>1</v>
      </c>
      <c r="DO37" s="5" t="s">
        <v>170</v>
      </c>
      <c r="DP37" s="5" t="s">
        <v>504</v>
      </c>
      <c r="DQ37" s="5" t="s">
        <v>171</v>
      </c>
      <c r="DR37" s="5" t="s">
        <v>172</v>
      </c>
      <c r="DS37" s="7" t="str">
        <f>_xlfn.XLOOKUP(CP37,datasetmap!B:B,datasetmap!A:A)</f>
        <v>JV</v>
      </c>
      <c r="DT37" s="8">
        <f t="shared" si="0"/>
        <v>1.080329984</v>
      </c>
    </row>
    <row r="38" ht="17.6" spans="1:124">
      <c r="A38" s="5" t="s">
        <v>506</v>
      </c>
      <c r="B38" s="5">
        <v>32</v>
      </c>
      <c r="C38" s="5" t="s">
        <v>141</v>
      </c>
      <c r="D38" s="5" t="s">
        <v>507</v>
      </c>
      <c r="E38" s="5" t="s">
        <v>508</v>
      </c>
      <c r="F38" s="5" t="s">
        <v>509</v>
      </c>
      <c r="G38" s="6">
        <v>1.77913072826813e+18</v>
      </c>
      <c r="H38" s="5">
        <v>0.667663507845269</v>
      </c>
      <c r="I38" s="5">
        <v>0.674016107842577</v>
      </c>
      <c r="J38" s="5">
        <v>0.497389114</v>
      </c>
      <c r="K38" s="5">
        <v>0.667663507845269</v>
      </c>
      <c r="L38" s="6">
        <v>1.77913072826807e+18</v>
      </c>
      <c r="M38" s="5">
        <v>0.682926829268292</v>
      </c>
      <c r="N38" s="6">
        <v>1.77913073218551e+18</v>
      </c>
      <c r="O38" s="6">
        <v>1.77913067755978e+18</v>
      </c>
      <c r="P38" s="5">
        <v>40.402120745</v>
      </c>
      <c r="Q38" s="5">
        <v>0.25</v>
      </c>
      <c r="R38" s="5">
        <v>6</v>
      </c>
      <c r="S38" s="5" t="s">
        <v>145</v>
      </c>
      <c r="T38" s="5" t="s">
        <v>146</v>
      </c>
      <c r="U38" s="5" t="b">
        <v>0</v>
      </c>
      <c r="V38" s="5">
        <v>25</v>
      </c>
      <c r="W38" s="5">
        <v>0</v>
      </c>
      <c r="X38" s="5">
        <v>10</v>
      </c>
      <c r="Y38" s="5">
        <v>8</v>
      </c>
      <c r="Z38" s="5" t="b">
        <v>0</v>
      </c>
      <c r="AA38" s="5">
        <v>4</v>
      </c>
      <c r="AB38" s="5" t="b">
        <v>0</v>
      </c>
      <c r="AC38" s="5" t="b">
        <v>0</v>
      </c>
      <c r="AD38" s="5" t="s">
        <v>147</v>
      </c>
      <c r="AE38" s="5" t="s">
        <v>510</v>
      </c>
      <c r="AF38" s="5">
        <v>1</v>
      </c>
      <c r="AG38" s="5" t="b">
        <v>0</v>
      </c>
      <c r="AH38" s="5" t="b">
        <v>0</v>
      </c>
      <c r="AI38" s="5" t="s">
        <v>149</v>
      </c>
      <c r="AJ38" s="5">
        <v>3</v>
      </c>
      <c r="AK38" s="5" t="b">
        <v>0</v>
      </c>
      <c r="AL38" s="5">
        <v>2</v>
      </c>
      <c r="AM38" s="5">
        <v>0</v>
      </c>
      <c r="AN38" s="5">
        <v>0</v>
      </c>
      <c r="AO38" s="5" t="b">
        <v>0</v>
      </c>
      <c r="AP38" s="5">
        <v>0.001</v>
      </c>
      <c r="AQ38" s="5">
        <v>256</v>
      </c>
      <c r="AR38" s="5" t="b">
        <v>1</v>
      </c>
      <c r="AS38" s="5">
        <v>1</v>
      </c>
      <c r="AT38" s="5">
        <v>3</v>
      </c>
      <c r="AU38" s="5">
        <v>0.1</v>
      </c>
      <c r="AV38" s="5">
        <v>0.1</v>
      </c>
      <c r="AW38" s="5" t="b">
        <v>0</v>
      </c>
      <c r="AX38" s="5">
        <v>32</v>
      </c>
      <c r="AY38" s="5">
        <v>42</v>
      </c>
      <c r="AZ38" s="5">
        <v>1</v>
      </c>
      <c r="BA38" s="5">
        <v>16</v>
      </c>
      <c r="BB38" s="5" t="s">
        <v>233</v>
      </c>
      <c r="BC38" s="5" t="s">
        <v>151</v>
      </c>
      <c r="BD38" s="5">
        <v>10</v>
      </c>
      <c r="BE38" s="5" t="b">
        <v>0</v>
      </c>
      <c r="BF38" s="5" t="s">
        <v>152</v>
      </c>
      <c r="BG38" s="5" t="s">
        <v>511</v>
      </c>
      <c r="BH38" s="5">
        <v>0</v>
      </c>
      <c r="BI38" s="5" t="s">
        <v>154</v>
      </c>
      <c r="BJ38" s="5">
        <v>2</v>
      </c>
      <c r="BK38" s="5"/>
      <c r="BL38" s="5" t="b">
        <v>0</v>
      </c>
      <c r="BM38" s="5">
        <v>0</v>
      </c>
      <c r="BN38" s="5">
        <v>0</v>
      </c>
      <c r="BO38" s="5" t="s">
        <v>155</v>
      </c>
      <c r="BP38" s="5">
        <v>128</v>
      </c>
      <c r="BQ38" s="5" t="s">
        <v>156</v>
      </c>
      <c r="BR38" s="5">
        <v>2</v>
      </c>
      <c r="BS38" s="5" t="s">
        <v>157</v>
      </c>
      <c r="BT38" s="5">
        <v>0</v>
      </c>
      <c r="BU38" s="5">
        <v>96</v>
      </c>
      <c r="BV38" s="5" t="b">
        <v>0</v>
      </c>
      <c r="BW38" s="5">
        <v>1000</v>
      </c>
      <c r="BX38" s="5">
        <v>0.3</v>
      </c>
      <c r="BY38" s="5" t="b">
        <v>0</v>
      </c>
      <c r="BZ38" s="5" t="s">
        <v>512</v>
      </c>
      <c r="CA38" s="5" t="s">
        <v>14</v>
      </c>
      <c r="CB38" s="5" t="s">
        <v>513</v>
      </c>
      <c r="CC38" s="5" t="s">
        <v>160</v>
      </c>
      <c r="CD38" s="5">
        <v>405</v>
      </c>
      <c r="CE38" s="5">
        <v>32</v>
      </c>
      <c r="CF38" s="5" t="b">
        <v>0</v>
      </c>
      <c r="CG38" s="5" t="s">
        <v>161</v>
      </c>
      <c r="CH38" s="5">
        <v>48</v>
      </c>
      <c r="CI38" s="5">
        <v>1</v>
      </c>
      <c r="CJ38" s="5">
        <v>0.25</v>
      </c>
      <c r="CK38" s="5">
        <v>7</v>
      </c>
      <c r="CL38" s="5" t="s">
        <v>514</v>
      </c>
      <c r="CM38" s="5">
        <v>7</v>
      </c>
      <c r="CN38" s="5" t="s">
        <v>163</v>
      </c>
      <c r="CO38" s="5">
        <v>0</v>
      </c>
      <c r="CP38" s="5" t="s">
        <v>238</v>
      </c>
      <c r="CQ38" s="5" t="s">
        <v>164</v>
      </c>
      <c r="CR38" s="5" t="s">
        <v>511</v>
      </c>
      <c r="CS38" s="5">
        <v>61</v>
      </c>
      <c r="CT38" s="5" t="b">
        <v>0</v>
      </c>
      <c r="CU38" s="5" t="s">
        <v>165</v>
      </c>
      <c r="CV38" s="5" t="b">
        <v>1</v>
      </c>
      <c r="CW38" s="5" t="b">
        <v>0</v>
      </c>
      <c r="CX38" s="5">
        <v>1</v>
      </c>
      <c r="CY38" s="5">
        <v>2</v>
      </c>
      <c r="CZ38" s="5" t="b">
        <v>0</v>
      </c>
      <c r="DA38" s="5" t="b">
        <v>0</v>
      </c>
      <c r="DB38" s="5" t="b">
        <v>0</v>
      </c>
      <c r="DC38" s="5" t="s">
        <v>166</v>
      </c>
      <c r="DD38" s="5" t="s">
        <v>167</v>
      </c>
      <c r="DE38" s="5" t="s">
        <v>168</v>
      </c>
      <c r="DF38" s="5">
        <v>0.5</v>
      </c>
      <c r="DG38" s="5">
        <v>10</v>
      </c>
      <c r="DH38" s="5">
        <v>0.3</v>
      </c>
      <c r="DI38" s="5">
        <v>1</v>
      </c>
      <c r="DJ38" s="5">
        <v>1</v>
      </c>
      <c r="DK38" s="5" t="s">
        <v>169</v>
      </c>
      <c r="DL38" s="5" t="b">
        <v>0</v>
      </c>
      <c r="DM38" s="5">
        <v>32</v>
      </c>
      <c r="DN38" s="5">
        <v>1</v>
      </c>
      <c r="DO38" s="5" t="s">
        <v>170</v>
      </c>
      <c r="DP38" s="5" t="s">
        <v>513</v>
      </c>
      <c r="DQ38" s="5" t="s">
        <v>171</v>
      </c>
      <c r="DR38" s="5" t="s">
        <v>172</v>
      </c>
      <c r="DS38" s="7" t="str">
        <f>_xlfn.XLOOKUP(CP38,datasetmap!B:B,datasetmap!A:A)</f>
        <v>HB</v>
      </c>
      <c r="DT38" s="8">
        <f t="shared" si="0"/>
        <v>3.91737984</v>
      </c>
    </row>
    <row r="39" ht="17.6" spans="1:124">
      <c r="A39" s="5" t="s">
        <v>515</v>
      </c>
      <c r="B39" s="5">
        <v>32</v>
      </c>
      <c r="C39" s="5" t="s">
        <v>141</v>
      </c>
      <c r="D39" s="5" t="s">
        <v>516</v>
      </c>
      <c r="E39" s="5" t="s">
        <v>517</v>
      </c>
      <c r="F39" s="5" t="s">
        <v>518</v>
      </c>
      <c r="G39" s="6">
        <v>1.77913063472611e+18</v>
      </c>
      <c r="H39" s="5">
        <v>0.299251606954243</v>
      </c>
      <c r="I39" s="5">
        <v>0.260952374848274</v>
      </c>
      <c r="J39" s="5">
        <v>0.64684714</v>
      </c>
      <c r="K39" s="5">
        <v>0.299251606954243</v>
      </c>
      <c r="L39" s="6">
        <v>1.77913063472594e+18</v>
      </c>
      <c r="M39" s="5">
        <v>0.274117647058823</v>
      </c>
      <c r="N39" s="6">
        <v>1.77913063615348e+18</v>
      </c>
      <c r="O39" s="6">
        <v>1.77913049975175e+18</v>
      </c>
      <c r="P39" s="5">
        <v>132.810998424</v>
      </c>
      <c r="Q39" s="5">
        <v>0.25</v>
      </c>
      <c r="R39" s="5">
        <v>6</v>
      </c>
      <c r="S39" s="5" t="s">
        <v>145</v>
      </c>
      <c r="T39" s="5" t="s">
        <v>146</v>
      </c>
      <c r="U39" s="5" t="b">
        <v>0</v>
      </c>
      <c r="V39" s="5">
        <v>25</v>
      </c>
      <c r="W39" s="5">
        <v>0</v>
      </c>
      <c r="X39" s="5">
        <v>10</v>
      </c>
      <c r="Y39" s="5">
        <v>8</v>
      </c>
      <c r="Z39" s="5" t="b">
        <v>0</v>
      </c>
      <c r="AA39" s="5">
        <v>4</v>
      </c>
      <c r="AB39" s="5" t="b">
        <v>0</v>
      </c>
      <c r="AC39" s="5" t="b">
        <v>0</v>
      </c>
      <c r="AD39" s="5" t="s">
        <v>147</v>
      </c>
      <c r="AE39" s="5" t="s">
        <v>519</v>
      </c>
      <c r="AF39" s="5">
        <v>1</v>
      </c>
      <c r="AG39" s="5" t="b">
        <v>0</v>
      </c>
      <c r="AH39" s="5" t="b">
        <v>0</v>
      </c>
      <c r="AI39" s="5" t="s">
        <v>149</v>
      </c>
      <c r="AJ39" s="5">
        <v>3</v>
      </c>
      <c r="AK39" s="5" t="b">
        <v>0</v>
      </c>
      <c r="AL39" s="5">
        <v>26</v>
      </c>
      <c r="AM39" s="5">
        <v>0</v>
      </c>
      <c r="AN39" s="5">
        <v>0</v>
      </c>
      <c r="AO39" s="5" t="b">
        <v>0</v>
      </c>
      <c r="AP39" s="5">
        <v>0.001</v>
      </c>
      <c r="AQ39" s="5">
        <v>256</v>
      </c>
      <c r="AR39" s="5" t="b">
        <v>1</v>
      </c>
      <c r="AS39" s="5">
        <v>1</v>
      </c>
      <c r="AT39" s="5">
        <v>3</v>
      </c>
      <c r="AU39" s="5">
        <v>0.1</v>
      </c>
      <c r="AV39" s="5">
        <v>0.1</v>
      </c>
      <c r="AW39" s="5" t="b">
        <v>0</v>
      </c>
      <c r="AX39" s="5">
        <v>32</v>
      </c>
      <c r="AY39" s="5">
        <v>42</v>
      </c>
      <c r="AZ39" s="5">
        <v>1</v>
      </c>
      <c r="BA39" s="5">
        <v>16</v>
      </c>
      <c r="BB39" s="5" t="s">
        <v>244</v>
      </c>
      <c r="BC39" s="5" t="s">
        <v>151</v>
      </c>
      <c r="BD39" s="5">
        <v>10</v>
      </c>
      <c r="BE39" s="5" t="b">
        <v>0</v>
      </c>
      <c r="BF39" s="5" t="s">
        <v>152</v>
      </c>
      <c r="BG39" s="5" t="s">
        <v>520</v>
      </c>
      <c r="BH39" s="5">
        <v>0</v>
      </c>
      <c r="BI39" s="5" t="s">
        <v>154</v>
      </c>
      <c r="BJ39" s="5">
        <v>2</v>
      </c>
      <c r="BK39" s="5"/>
      <c r="BL39" s="5" t="b">
        <v>0</v>
      </c>
      <c r="BM39" s="5">
        <v>0</v>
      </c>
      <c r="BN39" s="5">
        <v>0</v>
      </c>
      <c r="BO39" s="5" t="s">
        <v>155</v>
      </c>
      <c r="BP39" s="5">
        <v>128</v>
      </c>
      <c r="BQ39" s="5" t="s">
        <v>156</v>
      </c>
      <c r="BR39" s="5">
        <v>2</v>
      </c>
      <c r="BS39" s="5" t="s">
        <v>157</v>
      </c>
      <c r="BT39" s="5">
        <v>0</v>
      </c>
      <c r="BU39" s="5">
        <v>96</v>
      </c>
      <c r="BV39" s="5" t="b">
        <v>0</v>
      </c>
      <c r="BW39" s="5">
        <v>1000</v>
      </c>
      <c r="BX39" s="5">
        <v>0.3</v>
      </c>
      <c r="BY39" s="5" t="b">
        <v>0</v>
      </c>
      <c r="BZ39" s="5" t="s">
        <v>521</v>
      </c>
      <c r="CA39" s="5" t="s">
        <v>14</v>
      </c>
      <c r="CB39" s="5" t="s">
        <v>522</v>
      </c>
      <c r="CC39" s="5" t="s">
        <v>160</v>
      </c>
      <c r="CD39" s="5">
        <v>152</v>
      </c>
      <c r="CE39" s="5">
        <v>32</v>
      </c>
      <c r="CF39" s="5" t="b">
        <v>0</v>
      </c>
      <c r="CG39" s="5" t="s">
        <v>161</v>
      </c>
      <c r="CH39" s="5">
        <v>48</v>
      </c>
      <c r="CI39" s="5">
        <v>1</v>
      </c>
      <c r="CJ39" s="5">
        <v>0.25</v>
      </c>
      <c r="CK39" s="5">
        <v>7</v>
      </c>
      <c r="CL39" s="5" t="s">
        <v>523</v>
      </c>
      <c r="CM39" s="5">
        <v>7</v>
      </c>
      <c r="CN39" s="5" t="s">
        <v>163</v>
      </c>
      <c r="CO39" s="5">
        <v>0</v>
      </c>
      <c r="CP39" s="5" t="s">
        <v>249</v>
      </c>
      <c r="CQ39" s="5" t="s">
        <v>164</v>
      </c>
      <c r="CR39" s="5" t="s">
        <v>520</v>
      </c>
      <c r="CS39" s="5">
        <v>3</v>
      </c>
      <c r="CT39" s="5" t="b">
        <v>0</v>
      </c>
      <c r="CU39" s="5" t="s">
        <v>165</v>
      </c>
      <c r="CV39" s="5" t="b">
        <v>1</v>
      </c>
      <c r="CW39" s="5" t="b">
        <v>0</v>
      </c>
      <c r="CX39" s="5">
        <v>1</v>
      </c>
      <c r="CY39" s="5">
        <v>2</v>
      </c>
      <c r="CZ39" s="5" t="b">
        <v>0</v>
      </c>
      <c r="DA39" s="5" t="b">
        <v>0</v>
      </c>
      <c r="DB39" s="5" t="b">
        <v>0</v>
      </c>
      <c r="DC39" s="5" t="s">
        <v>166</v>
      </c>
      <c r="DD39" s="5" t="s">
        <v>167</v>
      </c>
      <c r="DE39" s="5" t="s">
        <v>168</v>
      </c>
      <c r="DF39" s="5">
        <v>0.5</v>
      </c>
      <c r="DG39" s="5">
        <v>10</v>
      </c>
      <c r="DH39" s="5">
        <v>0.3</v>
      </c>
      <c r="DI39" s="5">
        <v>1</v>
      </c>
      <c r="DJ39" s="5">
        <v>1</v>
      </c>
      <c r="DK39" s="5" t="s">
        <v>169</v>
      </c>
      <c r="DL39" s="5" t="b">
        <v>0</v>
      </c>
      <c r="DM39" s="5">
        <v>32</v>
      </c>
      <c r="DN39" s="5">
        <v>1</v>
      </c>
      <c r="DO39" s="5" t="s">
        <v>170</v>
      </c>
      <c r="DP39" s="5" t="s">
        <v>522</v>
      </c>
      <c r="DQ39" s="5" t="s">
        <v>171</v>
      </c>
      <c r="DR39" s="5" t="s">
        <v>172</v>
      </c>
      <c r="DS39" s="7" t="str">
        <f>_xlfn.XLOOKUP(CP39,datasetmap!B:B,datasetmap!A:A)</f>
        <v>HW</v>
      </c>
      <c r="DT39" s="8">
        <f t="shared" si="0"/>
        <v>1.427369984</v>
      </c>
    </row>
    <row r="40" ht="17.6" spans="1:124">
      <c r="A40" s="5" t="s">
        <v>524</v>
      </c>
      <c r="B40" s="5">
        <v>32</v>
      </c>
      <c r="C40" s="5" t="s">
        <v>141</v>
      </c>
      <c r="D40" s="5" t="s">
        <v>525</v>
      </c>
      <c r="E40" s="5" t="s">
        <v>526</v>
      </c>
      <c r="F40" s="5" t="s">
        <v>527</v>
      </c>
      <c r="G40" s="6">
        <v>1.77913044075487e+18</v>
      </c>
      <c r="H40" s="5">
        <v>0.86125925165952</v>
      </c>
      <c r="I40" s="5">
        <v>0.847774563141673</v>
      </c>
      <c r="J40" s="5">
        <v>1.454428324</v>
      </c>
      <c r="K40" s="5">
        <v>0.86125925165952</v>
      </c>
      <c r="L40" s="6">
        <v>1.7791304407548e+18</v>
      </c>
      <c r="M40" s="5">
        <v>0.84393063583815</v>
      </c>
      <c r="N40" s="6">
        <v>1.77913047408241e+18</v>
      </c>
      <c r="O40" s="6">
        <v>1.77913006812084e+18</v>
      </c>
      <c r="P40" s="5">
        <v>258.58732967</v>
      </c>
      <c r="Q40" s="5">
        <v>0.25</v>
      </c>
      <c r="R40" s="5">
        <v>6</v>
      </c>
      <c r="S40" s="5" t="s">
        <v>145</v>
      </c>
      <c r="T40" s="5" t="s">
        <v>146</v>
      </c>
      <c r="U40" s="5" t="b">
        <v>0</v>
      </c>
      <c r="V40" s="5">
        <v>25</v>
      </c>
      <c r="W40" s="5">
        <v>0</v>
      </c>
      <c r="X40" s="5">
        <v>10</v>
      </c>
      <c r="Y40" s="5">
        <v>8</v>
      </c>
      <c r="Z40" s="5" t="b">
        <v>0</v>
      </c>
      <c r="AA40" s="5">
        <v>4</v>
      </c>
      <c r="AB40" s="5" t="b">
        <v>0</v>
      </c>
      <c r="AC40" s="5" t="b">
        <v>0</v>
      </c>
      <c r="AD40" s="5" t="s">
        <v>147</v>
      </c>
      <c r="AE40" s="5" t="s">
        <v>528</v>
      </c>
      <c r="AF40" s="5">
        <v>1</v>
      </c>
      <c r="AG40" s="5" t="b">
        <v>0</v>
      </c>
      <c r="AH40" s="5" t="b">
        <v>0</v>
      </c>
      <c r="AI40" s="5" t="s">
        <v>149</v>
      </c>
      <c r="AJ40" s="5">
        <v>3</v>
      </c>
      <c r="AK40" s="5" t="b">
        <v>0</v>
      </c>
      <c r="AL40" s="5">
        <v>7</v>
      </c>
      <c r="AM40" s="5">
        <v>0</v>
      </c>
      <c r="AN40" s="5">
        <v>0</v>
      </c>
      <c r="AO40" s="5" t="b">
        <v>0</v>
      </c>
      <c r="AP40" s="5">
        <v>0.001</v>
      </c>
      <c r="AQ40" s="5">
        <v>256</v>
      </c>
      <c r="AR40" s="5" t="b">
        <v>1</v>
      </c>
      <c r="AS40" s="5">
        <v>1</v>
      </c>
      <c r="AT40" s="5">
        <v>3</v>
      </c>
      <c r="AU40" s="5">
        <v>0.1</v>
      </c>
      <c r="AV40" s="5">
        <v>0.1</v>
      </c>
      <c r="AW40" s="5" t="b">
        <v>0</v>
      </c>
      <c r="AX40" s="5">
        <v>32</v>
      </c>
      <c r="AY40" s="5">
        <v>7</v>
      </c>
      <c r="AZ40" s="5">
        <v>1</v>
      </c>
      <c r="BA40" s="5">
        <v>16</v>
      </c>
      <c r="BB40" s="5" t="s">
        <v>150</v>
      </c>
      <c r="BC40" s="5" t="s">
        <v>151</v>
      </c>
      <c r="BD40" s="5">
        <v>10</v>
      </c>
      <c r="BE40" s="5" t="b">
        <v>0</v>
      </c>
      <c r="BF40" s="5" t="s">
        <v>152</v>
      </c>
      <c r="BG40" s="5" t="s">
        <v>529</v>
      </c>
      <c r="BH40" s="5">
        <v>0</v>
      </c>
      <c r="BI40" s="5" t="s">
        <v>154</v>
      </c>
      <c r="BJ40" s="5">
        <v>2</v>
      </c>
      <c r="BK40" s="5"/>
      <c r="BL40" s="5" t="b">
        <v>0</v>
      </c>
      <c r="BM40" s="5">
        <v>0</v>
      </c>
      <c r="BN40" s="5">
        <v>0</v>
      </c>
      <c r="BO40" s="5" t="s">
        <v>155</v>
      </c>
      <c r="BP40" s="5">
        <v>128</v>
      </c>
      <c r="BQ40" s="5" t="s">
        <v>156</v>
      </c>
      <c r="BR40" s="5">
        <v>2</v>
      </c>
      <c r="BS40" s="5" t="s">
        <v>157</v>
      </c>
      <c r="BT40" s="5">
        <v>0</v>
      </c>
      <c r="BU40" s="5">
        <v>96</v>
      </c>
      <c r="BV40" s="5" t="b">
        <v>0</v>
      </c>
      <c r="BW40" s="5">
        <v>1000</v>
      </c>
      <c r="BX40" s="5">
        <v>0.3</v>
      </c>
      <c r="BY40" s="5" t="b">
        <v>0</v>
      </c>
      <c r="BZ40" s="5" t="s">
        <v>530</v>
      </c>
      <c r="CA40" s="5" t="s">
        <v>14</v>
      </c>
      <c r="CB40" s="5" t="s">
        <v>531</v>
      </c>
      <c r="CC40" s="5" t="s">
        <v>160</v>
      </c>
      <c r="CD40" s="5">
        <v>144</v>
      </c>
      <c r="CE40" s="5">
        <v>32</v>
      </c>
      <c r="CF40" s="5" t="b">
        <v>0</v>
      </c>
      <c r="CG40" s="5" t="s">
        <v>161</v>
      </c>
      <c r="CH40" s="5">
        <v>48</v>
      </c>
      <c r="CI40" s="5">
        <v>1</v>
      </c>
      <c r="CJ40" s="5">
        <v>0.25</v>
      </c>
      <c r="CK40" s="5">
        <v>7</v>
      </c>
      <c r="CL40" s="5" t="s">
        <v>532</v>
      </c>
      <c r="CM40" s="5">
        <v>7</v>
      </c>
      <c r="CN40" s="5" t="s">
        <v>163</v>
      </c>
      <c r="CO40" s="5">
        <v>0</v>
      </c>
      <c r="CP40" s="5" t="s">
        <v>8</v>
      </c>
      <c r="CQ40" s="5" t="s">
        <v>164</v>
      </c>
      <c r="CR40" s="5" t="s">
        <v>529</v>
      </c>
      <c r="CS40" s="5">
        <v>963</v>
      </c>
      <c r="CT40" s="5" t="b">
        <v>0</v>
      </c>
      <c r="CU40" s="5" t="s">
        <v>165</v>
      </c>
      <c r="CV40" s="5" t="b">
        <v>1</v>
      </c>
      <c r="CW40" s="5" t="b">
        <v>0</v>
      </c>
      <c r="CX40" s="5">
        <v>1</v>
      </c>
      <c r="CY40" s="5">
        <v>2</v>
      </c>
      <c r="CZ40" s="5" t="b">
        <v>0</v>
      </c>
      <c r="DA40" s="5" t="b">
        <v>0</v>
      </c>
      <c r="DB40" s="5" t="b">
        <v>0</v>
      </c>
      <c r="DC40" s="5" t="s">
        <v>166</v>
      </c>
      <c r="DD40" s="5" t="s">
        <v>167</v>
      </c>
      <c r="DE40" s="5" t="s">
        <v>168</v>
      </c>
      <c r="DF40" s="5">
        <v>0.5</v>
      </c>
      <c r="DG40" s="5">
        <v>10</v>
      </c>
      <c r="DH40" s="5">
        <v>0.3</v>
      </c>
      <c r="DI40" s="5">
        <v>1</v>
      </c>
      <c r="DJ40" s="5">
        <v>1</v>
      </c>
      <c r="DK40" s="5" t="s">
        <v>169</v>
      </c>
      <c r="DL40" s="5" t="b">
        <v>0</v>
      </c>
      <c r="DM40" s="5">
        <v>32</v>
      </c>
      <c r="DN40" s="5">
        <v>1</v>
      </c>
      <c r="DO40" s="5" t="s">
        <v>170</v>
      </c>
      <c r="DP40" s="5" t="s">
        <v>531</v>
      </c>
      <c r="DQ40" s="5" t="s">
        <v>171</v>
      </c>
      <c r="DR40" s="5" t="s">
        <v>172</v>
      </c>
      <c r="DS40" s="7" t="str">
        <f>_xlfn.XLOOKUP(CP40,datasetmap!B:B,datasetmap!A:A)</f>
        <v>PEMS-SF</v>
      </c>
      <c r="DT40" s="8">
        <f t="shared" si="0"/>
        <v>33.327539968</v>
      </c>
    </row>
    <row r="41" ht="17.6" spans="1:124">
      <c r="A41" s="5" t="s">
        <v>533</v>
      </c>
      <c r="B41" s="5">
        <v>32</v>
      </c>
      <c r="C41" s="5" t="s">
        <v>141</v>
      </c>
      <c r="D41" s="5" t="s">
        <v>534</v>
      </c>
      <c r="E41" s="5" t="s">
        <v>535</v>
      </c>
      <c r="F41" s="5" t="s">
        <v>536</v>
      </c>
      <c r="G41" s="6">
        <v>1.7791303753347e+18</v>
      </c>
      <c r="H41" s="5">
        <v>0.216064368049652</v>
      </c>
      <c r="I41" s="5">
        <v>0.197959328149442</v>
      </c>
      <c r="J41" s="5">
        <v>1.189495352</v>
      </c>
      <c r="K41" s="5">
        <v>0.216064368049652</v>
      </c>
      <c r="L41" s="6">
        <v>1.77913037533463e+18</v>
      </c>
      <c r="M41" s="5">
        <v>0.262357414448669</v>
      </c>
      <c r="N41" s="6">
        <v>1.77913037724325e+18</v>
      </c>
      <c r="O41" s="6">
        <v>1.77913032411148e+18</v>
      </c>
      <c r="P41" s="5">
        <v>48.812348923</v>
      </c>
      <c r="Q41" s="5">
        <v>0.25</v>
      </c>
      <c r="R41" s="5">
        <v>6</v>
      </c>
      <c r="S41" s="5" t="s">
        <v>145</v>
      </c>
      <c r="T41" s="5" t="s">
        <v>146</v>
      </c>
      <c r="U41" s="5" t="b">
        <v>0</v>
      </c>
      <c r="V41" s="5">
        <v>25</v>
      </c>
      <c r="W41" s="5">
        <v>0</v>
      </c>
      <c r="X41" s="5">
        <v>10</v>
      </c>
      <c r="Y41" s="5">
        <v>8</v>
      </c>
      <c r="Z41" s="5" t="b">
        <v>0</v>
      </c>
      <c r="AA41" s="5">
        <v>4</v>
      </c>
      <c r="AB41" s="5" t="b">
        <v>0</v>
      </c>
      <c r="AC41" s="5" t="b">
        <v>0</v>
      </c>
      <c r="AD41" s="5" t="s">
        <v>147</v>
      </c>
      <c r="AE41" s="5" t="s">
        <v>537</v>
      </c>
      <c r="AF41" s="5">
        <v>1</v>
      </c>
      <c r="AG41" s="5" t="b">
        <v>0</v>
      </c>
      <c r="AH41" s="5" t="b">
        <v>0</v>
      </c>
      <c r="AI41" s="5" t="s">
        <v>149</v>
      </c>
      <c r="AJ41" s="5">
        <v>3</v>
      </c>
      <c r="AK41" s="5" t="b">
        <v>0</v>
      </c>
      <c r="AL41" s="5">
        <v>4</v>
      </c>
      <c r="AM41" s="5">
        <v>0</v>
      </c>
      <c r="AN41" s="5">
        <v>0</v>
      </c>
      <c r="AO41" s="5" t="b">
        <v>0</v>
      </c>
      <c r="AP41" s="5">
        <v>0.001</v>
      </c>
      <c r="AQ41" s="5">
        <v>256</v>
      </c>
      <c r="AR41" s="5" t="b">
        <v>1</v>
      </c>
      <c r="AS41" s="5">
        <v>1</v>
      </c>
      <c r="AT41" s="5">
        <v>3</v>
      </c>
      <c r="AU41" s="5">
        <v>0.1</v>
      </c>
      <c r="AV41" s="5">
        <v>0.1</v>
      </c>
      <c r="AW41" s="5" t="b">
        <v>0</v>
      </c>
      <c r="AX41" s="5">
        <v>32</v>
      </c>
      <c r="AY41" s="5">
        <v>42</v>
      </c>
      <c r="AZ41" s="5">
        <v>1</v>
      </c>
      <c r="BA41" s="5">
        <v>16</v>
      </c>
      <c r="BB41" s="5" t="s">
        <v>264</v>
      </c>
      <c r="BC41" s="5" t="s">
        <v>151</v>
      </c>
      <c r="BD41" s="5">
        <v>10</v>
      </c>
      <c r="BE41" s="5" t="b">
        <v>0</v>
      </c>
      <c r="BF41" s="5" t="s">
        <v>152</v>
      </c>
      <c r="BG41" s="5" t="s">
        <v>538</v>
      </c>
      <c r="BH41" s="5">
        <v>0</v>
      </c>
      <c r="BI41" s="5" t="s">
        <v>154</v>
      </c>
      <c r="BJ41" s="5">
        <v>2</v>
      </c>
      <c r="BK41" s="5"/>
      <c r="BL41" s="5" t="b">
        <v>0</v>
      </c>
      <c r="BM41" s="5">
        <v>0</v>
      </c>
      <c r="BN41" s="5">
        <v>0</v>
      </c>
      <c r="BO41" s="5" t="s">
        <v>155</v>
      </c>
      <c r="BP41" s="5">
        <v>128</v>
      </c>
      <c r="BQ41" s="5" t="s">
        <v>156</v>
      </c>
      <c r="BR41" s="5">
        <v>2</v>
      </c>
      <c r="BS41" s="5" t="s">
        <v>157</v>
      </c>
      <c r="BT41" s="5">
        <v>0</v>
      </c>
      <c r="BU41" s="5">
        <v>96</v>
      </c>
      <c r="BV41" s="5" t="b">
        <v>0</v>
      </c>
      <c r="BW41" s="5">
        <v>1000</v>
      </c>
      <c r="BX41" s="5">
        <v>0.3</v>
      </c>
      <c r="BY41" s="5" t="b">
        <v>0</v>
      </c>
      <c r="BZ41" s="5" t="s">
        <v>539</v>
      </c>
      <c r="CA41" s="5" t="s">
        <v>14</v>
      </c>
      <c r="CB41" s="5" t="s">
        <v>540</v>
      </c>
      <c r="CC41" s="5" t="s">
        <v>160</v>
      </c>
      <c r="CD41" s="5">
        <v>1751</v>
      </c>
      <c r="CE41" s="5">
        <v>32</v>
      </c>
      <c r="CF41" s="5" t="b">
        <v>0</v>
      </c>
      <c r="CG41" s="5" t="s">
        <v>161</v>
      </c>
      <c r="CH41" s="5">
        <v>48</v>
      </c>
      <c r="CI41" s="5">
        <v>1</v>
      </c>
      <c r="CJ41" s="5">
        <v>0.25</v>
      </c>
      <c r="CK41" s="5">
        <v>7</v>
      </c>
      <c r="CL41" s="5" t="s">
        <v>541</v>
      </c>
      <c r="CM41" s="5">
        <v>7</v>
      </c>
      <c r="CN41" s="5" t="s">
        <v>163</v>
      </c>
      <c r="CO41" s="5">
        <v>0</v>
      </c>
      <c r="CP41" s="5" t="s">
        <v>269</v>
      </c>
      <c r="CQ41" s="5" t="s">
        <v>164</v>
      </c>
      <c r="CR41" s="5" t="s">
        <v>538</v>
      </c>
      <c r="CS41" s="5">
        <v>3</v>
      </c>
      <c r="CT41" s="5" t="b">
        <v>0</v>
      </c>
      <c r="CU41" s="5" t="s">
        <v>165</v>
      </c>
      <c r="CV41" s="5" t="b">
        <v>1</v>
      </c>
      <c r="CW41" s="5" t="b">
        <v>0</v>
      </c>
      <c r="CX41" s="5">
        <v>1</v>
      </c>
      <c r="CY41" s="5">
        <v>2</v>
      </c>
      <c r="CZ41" s="5" t="b">
        <v>0</v>
      </c>
      <c r="DA41" s="5" t="b">
        <v>0</v>
      </c>
      <c r="DB41" s="5" t="b">
        <v>0</v>
      </c>
      <c r="DC41" s="5" t="s">
        <v>166</v>
      </c>
      <c r="DD41" s="5" t="s">
        <v>167</v>
      </c>
      <c r="DE41" s="5" t="s">
        <v>168</v>
      </c>
      <c r="DF41" s="5">
        <v>0.5</v>
      </c>
      <c r="DG41" s="5">
        <v>10</v>
      </c>
      <c r="DH41" s="5">
        <v>0.3</v>
      </c>
      <c r="DI41" s="5">
        <v>1</v>
      </c>
      <c r="DJ41" s="5">
        <v>1</v>
      </c>
      <c r="DK41" s="5" t="s">
        <v>169</v>
      </c>
      <c r="DL41" s="5" t="b">
        <v>0</v>
      </c>
      <c r="DM41" s="5">
        <v>32</v>
      </c>
      <c r="DN41" s="5">
        <v>1</v>
      </c>
      <c r="DO41" s="5" t="s">
        <v>170</v>
      </c>
      <c r="DP41" s="5" t="s">
        <v>540</v>
      </c>
      <c r="DQ41" s="5" t="s">
        <v>171</v>
      </c>
      <c r="DR41" s="5" t="s">
        <v>172</v>
      </c>
      <c r="DS41" s="7" t="str">
        <f>_xlfn.XLOOKUP(CP41,datasetmap!B:B,datasetmap!A:A)</f>
        <v>EC</v>
      </c>
      <c r="DT41" s="8">
        <f t="shared" si="0"/>
        <v>1.908549888</v>
      </c>
    </row>
    <row r="42" ht="17.6" spans="1:124">
      <c r="A42" s="5" t="s">
        <v>542</v>
      </c>
      <c r="B42" s="5">
        <v>32</v>
      </c>
      <c r="C42" s="5" t="s">
        <v>141</v>
      </c>
      <c r="D42" s="5" t="s">
        <v>543</v>
      </c>
      <c r="E42" s="5" t="s">
        <v>544</v>
      </c>
      <c r="F42" s="5" t="s">
        <v>545</v>
      </c>
      <c r="G42" s="6">
        <v>1.77913028829914e+18</v>
      </c>
      <c r="H42" s="5">
        <v>0.854257718913642</v>
      </c>
      <c r="I42" s="5">
        <v>0.845317615799361</v>
      </c>
      <c r="J42" s="5">
        <v>0.438423159</v>
      </c>
      <c r="K42" s="5">
        <v>0.854257718913642</v>
      </c>
      <c r="L42" s="6">
        <v>1.77913028829907e+18</v>
      </c>
      <c r="M42" s="5">
        <v>0.846875</v>
      </c>
      <c r="N42" s="6">
        <v>1.77913028934722e+18</v>
      </c>
      <c r="O42" s="6">
        <v>1.77913025282394e+18</v>
      </c>
      <c r="P42" s="5">
        <v>34.419042138</v>
      </c>
      <c r="Q42" s="5">
        <v>0.25</v>
      </c>
      <c r="R42" s="5">
        <v>6</v>
      </c>
      <c r="S42" s="5" t="s">
        <v>145</v>
      </c>
      <c r="T42" s="5" t="s">
        <v>146</v>
      </c>
      <c r="U42" s="5" t="b">
        <v>0</v>
      </c>
      <c r="V42" s="5">
        <v>25</v>
      </c>
      <c r="W42" s="5">
        <v>0</v>
      </c>
      <c r="X42" s="5">
        <v>10</v>
      </c>
      <c r="Y42" s="5">
        <v>8</v>
      </c>
      <c r="Z42" s="5" t="b">
        <v>0</v>
      </c>
      <c r="AA42" s="5">
        <v>4</v>
      </c>
      <c r="AB42" s="5" t="b">
        <v>0</v>
      </c>
      <c r="AC42" s="5" t="b">
        <v>0</v>
      </c>
      <c r="AD42" s="5" t="s">
        <v>147</v>
      </c>
      <c r="AE42" s="5" t="s">
        <v>546</v>
      </c>
      <c r="AF42" s="5">
        <v>1</v>
      </c>
      <c r="AG42" s="5" t="b">
        <v>0</v>
      </c>
      <c r="AH42" s="5" t="b">
        <v>0</v>
      </c>
      <c r="AI42" s="5" t="s">
        <v>149</v>
      </c>
      <c r="AJ42" s="5">
        <v>3</v>
      </c>
      <c r="AK42" s="5" t="b">
        <v>0</v>
      </c>
      <c r="AL42" s="5">
        <v>8</v>
      </c>
      <c r="AM42" s="5">
        <v>0</v>
      </c>
      <c r="AN42" s="5">
        <v>0</v>
      </c>
      <c r="AO42" s="5" t="b">
        <v>0</v>
      </c>
      <c r="AP42" s="5">
        <v>0.001</v>
      </c>
      <c r="AQ42" s="5">
        <v>256</v>
      </c>
      <c r="AR42" s="5" t="b">
        <v>1</v>
      </c>
      <c r="AS42" s="5">
        <v>1</v>
      </c>
      <c r="AT42" s="5">
        <v>3</v>
      </c>
      <c r="AU42" s="5">
        <v>0.1</v>
      </c>
      <c r="AV42" s="5">
        <v>0.1</v>
      </c>
      <c r="AW42" s="5" t="b">
        <v>0</v>
      </c>
      <c r="AX42" s="5">
        <v>32</v>
      </c>
      <c r="AY42" s="5">
        <v>42</v>
      </c>
      <c r="AZ42" s="5">
        <v>1</v>
      </c>
      <c r="BA42" s="5">
        <v>16</v>
      </c>
      <c r="BB42" s="5" t="s">
        <v>275</v>
      </c>
      <c r="BC42" s="5" t="s">
        <v>151</v>
      </c>
      <c r="BD42" s="5">
        <v>10</v>
      </c>
      <c r="BE42" s="5" t="b">
        <v>0</v>
      </c>
      <c r="BF42" s="5" t="s">
        <v>152</v>
      </c>
      <c r="BG42" s="5" t="s">
        <v>547</v>
      </c>
      <c r="BH42" s="5">
        <v>0</v>
      </c>
      <c r="BI42" s="5" t="s">
        <v>154</v>
      </c>
      <c r="BJ42" s="5">
        <v>2</v>
      </c>
      <c r="BK42" s="5"/>
      <c r="BL42" s="5" t="b">
        <v>0</v>
      </c>
      <c r="BM42" s="5">
        <v>0</v>
      </c>
      <c r="BN42" s="5">
        <v>0</v>
      </c>
      <c r="BO42" s="5" t="s">
        <v>155</v>
      </c>
      <c r="BP42" s="5">
        <v>128</v>
      </c>
      <c r="BQ42" s="5" t="s">
        <v>156</v>
      </c>
      <c r="BR42" s="5">
        <v>2</v>
      </c>
      <c r="BS42" s="5" t="s">
        <v>157</v>
      </c>
      <c r="BT42" s="5">
        <v>0</v>
      </c>
      <c r="BU42" s="5">
        <v>96</v>
      </c>
      <c r="BV42" s="5" t="b">
        <v>0</v>
      </c>
      <c r="BW42" s="5">
        <v>1000</v>
      </c>
      <c r="BX42" s="5">
        <v>0.3</v>
      </c>
      <c r="BY42" s="5" t="b">
        <v>0</v>
      </c>
      <c r="BZ42" s="5" t="s">
        <v>548</v>
      </c>
      <c r="CA42" s="5" t="s">
        <v>14</v>
      </c>
      <c r="CB42" s="5" t="s">
        <v>549</v>
      </c>
      <c r="CC42" s="5" t="s">
        <v>160</v>
      </c>
      <c r="CD42" s="5">
        <v>315</v>
      </c>
      <c r="CE42" s="5">
        <v>32</v>
      </c>
      <c r="CF42" s="5" t="b">
        <v>0</v>
      </c>
      <c r="CG42" s="5" t="s">
        <v>161</v>
      </c>
      <c r="CH42" s="5">
        <v>48</v>
      </c>
      <c r="CI42" s="5">
        <v>1</v>
      </c>
      <c r="CJ42" s="5">
        <v>0.25</v>
      </c>
      <c r="CK42" s="5">
        <v>7</v>
      </c>
      <c r="CL42" s="5" t="s">
        <v>550</v>
      </c>
      <c r="CM42" s="5">
        <v>7</v>
      </c>
      <c r="CN42" s="5" t="s">
        <v>163</v>
      </c>
      <c r="CO42" s="5">
        <v>0</v>
      </c>
      <c r="CP42" s="5" t="s">
        <v>280</v>
      </c>
      <c r="CQ42" s="5" t="s">
        <v>164</v>
      </c>
      <c r="CR42" s="5" t="s">
        <v>547</v>
      </c>
      <c r="CS42" s="5">
        <v>3</v>
      </c>
      <c r="CT42" s="5" t="b">
        <v>0</v>
      </c>
      <c r="CU42" s="5" t="s">
        <v>165</v>
      </c>
      <c r="CV42" s="5" t="b">
        <v>1</v>
      </c>
      <c r="CW42" s="5" t="b">
        <v>0</v>
      </c>
      <c r="CX42" s="5">
        <v>1</v>
      </c>
      <c r="CY42" s="5">
        <v>2</v>
      </c>
      <c r="CZ42" s="5" t="b">
        <v>0</v>
      </c>
      <c r="DA42" s="5" t="b">
        <v>0</v>
      </c>
      <c r="DB42" s="5" t="b">
        <v>0</v>
      </c>
      <c r="DC42" s="5" t="s">
        <v>166</v>
      </c>
      <c r="DD42" s="5" t="s">
        <v>167</v>
      </c>
      <c r="DE42" s="5" t="s">
        <v>168</v>
      </c>
      <c r="DF42" s="5">
        <v>0.5</v>
      </c>
      <c r="DG42" s="5">
        <v>10</v>
      </c>
      <c r="DH42" s="5">
        <v>0.3</v>
      </c>
      <c r="DI42" s="5">
        <v>1</v>
      </c>
      <c r="DJ42" s="5">
        <v>1</v>
      </c>
      <c r="DK42" s="5" t="s">
        <v>169</v>
      </c>
      <c r="DL42" s="5" t="b">
        <v>0</v>
      </c>
      <c r="DM42" s="5">
        <v>32</v>
      </c>
      <c r="DN42" s="5">
        <v>1</v>
      </c>
      <c r="DO42" s="5" t="s">
        <v>170</v>
      </c>
      <c r="DP42" s="5" t="s">
        <v>549</v>
      </c>
      <c r="DQ42" s="5" t="s">
        <v>171</v>
      </c>
      <c r="DR42" s="5" t="s">
        <v>172</v>
      </c>
      <c r="DS42" s="7" t="str">
        <f>_xlfn.XLOOKUP(CP42,datasetmap!B:B,datasetmap!A:A)</f>
        <v>UWG</v>
      </c>
      <c r="DT42" s="8">
        <f t="shared" si="0"/>
        <v>1.048079872</v>
      </c>
    </row>
    <row r="43" ht="17.6" spans="1:124">
      <c r="A43" s="5" t="s">
        <v>551</v>
      </c>
      <c r="B43" s="5">
        <v>32</v>
      </c>
      <c r="C43" s="5" t="s">
        <v>141</v>
      </c>
      <c r="D43" s="5" t="s">
        <v>552</v>
      </c>
      <c r="E43" s="5" t="s">
        <v>553</v>
      </c>
      <c r="F43" s="5" t="s">
        <v>554</v>
      </c>
      <c r="G43" s="6">
        <v>1.77913014053603e+18</v>
      </c>
      <c r="H43" s="5">
        <v>0.660762187088274</v>
      </c>
      <c r="I43" s="5">
        <v>0.655302393567834</v>
      </c>
      <c r="J43" s="5">
        <v>3.148507339</v>
      </c>
      <c r="K43" s="5">
        <v>0.660762187088274</v>
      </c>
      <c r="L43" s="6">
        <v>1.77913014053591e+18</v>
      </c>
      <c r="M43" s="5">
        <v>0.657207718501702</v>
      </c>
      <c r="N43" s="6">
        <v>1.77913022284031e+18</v>
      </c>
      <c r="O43" s="6">
        <v>1.77912967003575e+18</v>
      </c>
      <c r="P43" s="5">
        <v>157.252167197</v>
      </c>
      <c r="Q43" s="5">
        <v>0.25</v>
      </c>
      <c r="R43" s="5">
        <v>6</v>
      </c>
      <c r="S43" s="5" t="s">
        <v>145</v>
      </c>
      <c r="T43" s="5" t="s">
        <v>146</v>
      </c>
      <c r="U43" s="5" t="b">
        <v>0</v>
      </c>
      <c r="V43" s="5">
        <v>25</v>
      </c>
      <c r="W43" s="5">
        <v>0</v>
      </c>
      <c r="X43" s="5">
        <v>10</v>
      </c>
      <c r="Y43" s="5">
        <v>8</v>
      </c>
      <c r="Z43" s="5" t="b">
        <v>0</v>
      </c>
      <c r="AA43" s="5">
        <v>4</v>
      </c>
      <c r="AB43" s="5" t="b">
        <v>0</v>
      </c>
      <c r="AC43" s="5" t="b">
        <v>0</v>
      </c>
      <c r="AD43" s="5" t="s">
        <v>147</v>
      </c>
      <c r="AE43" s="5" t="s">
        <v>555</v>
      </c>
      <c r="AF43" s="5">
        <v>1</v>
      </c>
      <c r="AG43" s="5" t="b">
        <v>0</v>
      </c>
      <c r="AH43" s="5" t="b">
        <v>0</v>
      </c>
      <c r="AI43" s="5" t="s">
        <v>149</v>
      </c>
      <c r="AJ43" s="5">
        <v>3</v>
      </c>
      <c r="AK43" s="5" t="b">
        <v>0</v>
      </c>
      <c r="AL43" s="5">
        <v>2</v>
      </c>
      <c r="AM43" s="5">
        <v>0</v>
      </c>
      <c r="AN43" s="5">
        <v>0</v>
      </c>
      <c r="AO43" s="5" t="b">
        <v>0</v>
      </c>
      <c r="AP43" s="5">
        <v>0.001</v>
      </c>
      <c r="AQ43" s="5">
        <v>256</v>
      </c>
      <c r="AR43" s="5" t="b">
        <v>1</v>
      </c>
      <c r="AS43" s="5">
        <v>1</v>
      </c>
      <c r="AT43" s="5">
        <v>3</v>
      </c>
      <c r="AU43" s="5">
        <v>0.1</v>
      </c>
      <c r="AV43" s="5">
        <v>0.1</v>
      </c>
      <c r="AW43" s="5" t="b">
        <v>0</v>
      </c>
      <c r="AX43" s="5">
        <v>32</v>
      </c>
      <c r="AY43" s="5">
        <v>7</v>
      </c>
      <c r="AZ43" s="5">
        <v>1</v>
      </c>
      <c r="BA43" s="5">
        <v>16</v>
      </c>
      <c r="BB43" s="5" t="s">
        <v>189</v>
      </c>
      <c r="BC43" s="5" t="s">
        <v>151</v>
      </c>
      <c r="BD43" s="5">
        <v>10</v>
      </c>
      <c r="BE43" s="5" t="b">
        <v>0</v>
      </c>
      <c r="BF43" s="5" t="s">
        <v>152</v>
      </c>
      <c r="BG43" s="5" t="s">
        <v>556</v>
      </c>
      <c r="BH43" s="5">
        <v>0</v>
      </c>
      <c r="BI43" s="5" t="s">
        <v>154</v>
      </c>
      <c r="BJ43" s="5">
        <v>2</v>
      </c>
      <c r="BK43" s="5"/>
      <c r="BL43" s="5" t="b">
        <v>0</v>
      </c>
      <c r="BM43" s="5">
        <v>0</v>
      </c>
      <c r="BN43" s="5">
        <v>0</v>
      </c>
      <c r="BO43" s="5" t="s">
        <v>155</v>
      </c>
      <c r="BP43" s="5">
        <v>128</v>
      </c>
      <c r="BQ43" s="5" t="s">
        <v>156</v>
      </c>
      <c r="BR43" s="5">
        <v>2</v>
      </c>
      <c r="BS43" s="5" t="s">
        <v>157</v>
      </c>
      <c r="BT43" s="5">
        <v>0</v>
      </c>
      <c r="BU43" s="5">
        <v>96</v>
      </c>
      <c r="BV43" s="5" t="b">
        <v>0</v>
      </c>
      <c r="BW43" s="5">
        <v>1000</v>
      </c>
      <c r="BX43" s="5">
        <v>0.3</v>
      </c>
      <c r="BY43" s="5" t="b">
        <v>0</v>
      </c>
      <c r="BZ43" s="5" t="s">
        <v>557</v>
      </c>
      <c r="CA43" s="5" t="s">
        <v>14</v>
      </c>
      <c r="CB43" s="5" t="s">
        <v>558</v>
      </c>
      <c r="CC43" s="5" t="s">
        <v>160</v>
      </c>
      <c r="CD43" s="5">
        <v>62</v>
      </c>
      <c r="CE43" s="5">
        <v>32</v>
      </c>
      <c r="CF43" s="5" t="b">
        <v>0</v>
      </c>
      <c r="CG43" s="5" t="s">
        <v>161</v>
      </c>
      <c r="CH43" s="5">
        <v>48</v>
      </c>
      <c r="CI43" s="5">
        <v>1</v>
      </c>
      <c r="CJ43" s="5">
        <v>0.25</v>
      </c>
      <c r="CK43" s="5">
        <v>7</v>
      </c>
      <c r="CL43" s="5" t="s">
        <v>559</v>
      </c>
      <c r="CM43" s="5">
        <v>7</v>
      </c>
      <c r="CN43" s="5" t="s">
        <v>163</v>
      </c>
      <c r="CO43" s="5">
        <v>0</v>
      </c>
      <c r="CP43" s="5" t="s">
        <v>194</v>
      </c>
      <c r="CQ43" s="5" t="s">
        <v>164</v>
      </c>
      <c r="CR43" s="5" t="s">
        <v>556</v>
      </c>
      <c r="CS43" s="5">
        <v>144</v>
      </c>
      <c r="CT43" s="5" t="b">
        <v>0</v>
      </c>
      <c r="CU43" s="5" t="s">
        <v>165</v>
      </c>
      <c r="CV43" s="5" t="b">
        <v>1</v>
      </c>
      <c r="CW43" s="5" t="b">
        <v>0</v>
      </c>
      <c r="CX43" s="5">
        <v>1</v>
      </c>
      <c r="CY43" s="5">
        <v>2</v>
      </c>
      <c r="CZ43" s="5" t="b">
        <v>0</v>
      </c>
      <c r="DA43" s="5" t="b">
        <v>0</v>
      </c>
      <c r="DB43" s="5" t="b">
        <v>0</v>
      </c>
      <c r="DC43" s="5" t="s">
        <v>166</v>
      </c>
      <c r="DD43" s="5" t="s">
        <v>167</v>
      </c>
      <c r="DE43" s="5" t="s">
        <v>168</v>
      </c>
      <c r="DF43" s="5">
        <v>0.5</v>
      </c>
      <c r="DG43" s="5">
        <v>10</v>
      </c>
      <c r="DH43" s="5">
        <v>0.3</v>
      </c>
      <c r="DI43" s="5">
        <v>1</v>
      </c>
      <c r="DJ43" s="5">
        <v>1</v>
      </c>
      <c r="DK43" s="5" t="s">
        <v>169</v>
      </c>
      <c r="DL43" s="5" t="b">
        <v>0</v>
      </c>
      <c r="DM43" s="5">
        <v>32</v>
      </c>
      <c r="DN43" s="5">
        <v>1</v>
      </c>
      <c r="DO43" s="5" t="s">
        <v>170</v>
      </c>
      <c r="DP43" s="5" t="s">
        <v>558</v>
      </c>
      <c r="DQ43" s="5" t="s">
        <v>171</v>
      </c>
      <c r="DR43" s="5" t="s">
        <v>172</v>
      </c>
      <c r="DS43" s="7" t="str">
        <f>_xlfn.XLOOKUP(CP43,datasetmap!B:B,datasetmap!A:A)</f>
        <v>FD</v>
      </c>
      <c r="DT43" s="8">
        <f t="shared" si="0"/>
        <v>82.304280064</v>
      </c>
    </row>
    <row r="44" ht="17.6" spans="1:124">
      <c r="A44" s="5" t="s">
        <v>560</v>
      </c>
      <c r="B44" s="5">
        <v>32</v>
      </c>
      <c r="C44" s="5" t="s">
        <v>141</v>
      </c>
      <c r="D44" s="5" t="s">
        <v>561</v>
      </c>
      <c r="E44" s="5" t="s">
        <v>562</v>
      </c>
      <c r="F44" s="5" t="s">
        <v>563</v>
      </c>
      <c r="G44" s="6">
        <v>1.77912986766828e+18</v>
      </c>
      <c r="H44" s="5">
        <v>0.972138664037965</v>
      </c>
      <c r="I44" s="5">
        <v>0.971768606182869</v>
      </c>
      <c r="J44" s="5">
        <v>0.721235461</v>
      </c>
      <c r="K44" s="5">
        <v>0.972138664037965</v>
      </c>
      <c r="L44" s="6">
        <v>1.77912986766821e+18</v>
      </c>
      <c r="M44" s="5">
        <v>0.971805366075488</v>
      </c>
      <c r="N44" s="6">
        <v>1.77912987393238e+18</v>
      </c>
      <c r="O44" s="6">
        <v>1.77912976409784e+18</v>
      </c>
      <c r="P44" s="5">
        <v>77.679917834</v>
      </c>
      <c r="Q44" s="5">
        <v>0.25</v>
      </c>
      <c r="R44" s="5">
        <v>6</v>
      </c>
      <c r="S44" s="5" t="s">
        <v>145</v>
      </c>
      <c r="T44" s="5" t="s">
        <v>146</v>
      </c>
      <c r="U44" s="5" t="b">
        <v>0</v>
      </c>
      <c r="V44" s="5">
        <v>25</v>
      </c>
      <c r="W44" s="5">
        <v>0</v>
      </c>
      <c r="X44" s="5">
        <v>10</v>
      </c>
      <c r="Y44" s="5">
        <v>8</v>
      </c>
      <c r="Z44" s="5" t="b">
        <v>0</v>
      </c>
      <c r="AA44" s="5">
        <v>4</v>
      </c>
      <c r="AB44" s="5" t="b">
        <v>0</v>
      </c>
      <c r="AC44" s="5" t="b">
        <v>0</v>
      </c>
      <c r="AD44" s="5" t="s">
        <v>147</v>
      </c>
      <c r="AE44" s="5" t="s">
        <v>564</v>
      </c>
      <c r="AF44" s="5">
        <v>1</v>
      </c>
      <c r="AG44" s="5" t="b">
        <v>0</v>
      </c>
      <c r="AH44" s="5" t="b">
        <v>0</v>
      </c>
      <c r="AI44" s="5" t="s">
        <v>149</v>
      </c>
      <c r="AJ44" s="5">
        <v>3</v>
      </c>
      <c r="AK44" s="5" t="b">
        <v>0</v>
      </c>
      <c r="AL44" s="5">
        <v>10</v>
      </c>
      <c r="AM44" s="5">
        <v>0</v>
      </c>
      <c r="AN44" s="5">
        <v>0</v>
      </c>
      <c r="AO44" s="5" t="b">
        <v>0</v>
      </c>
      <c r="AP44" s="5">
        <v>0.001</v>
      </c>
      <c r="AQ44" s="5">
        <v>256</v>
      </c>
      <c r="AR44" s="5" t="b">
        <v>1</v>
      </c>
      <c r="AS44" s="5">
        <v>1</v>
      </c>
      <c r="AT44" s="5">
        <v>3</v>
      </c>
      <c r="AU44" s="5">
        <v>0.1</v>
      </c>
      <c r="AV44" s="5">
        <v>0.1</v>
      </c>
      <c r="AW44" s="5" t="b">
        <v>0</v>
      </c>
      <c r="AX44" s="5">
        <v>32</v>
      </c>
      <c r="AY44" s="5">
        <v>7</v>
      </c>
      <c r="AZ44" s="5">
        <v>1</v>
      </c>
      <c r="BA44" s="5">
        <v>16</v>
      </c>
      <c r="BB44" s="5" t="s">
        <v>178</v>
      </c>
      <c r="BC44" s="5" t="s">
        <v>151</v>
      </c>
      <c r="BD44" s="5">
        <v>10</v>
      </c>
      <c r="BE44" s="5" t="b">
        <v>0</v>
      </c>
      <c r="BF44" s="5" t="s">
        <v>152</v>
      </c>
      <c r="BG44" s="5" t="s">
        <v>565</v>
      </c>
      <c r="BH44" s="5">
        <v>0</v>
      </c>
      <c r="BI44" s="5" t="s">
        <v>154</v>
      </c>
      <c r="BJ44" s="5">
        <v>2</v>
      </c>
      <c r="BK44" s="5"/>
      <c r="BL44" s="5" t="b">
        <v>0</v>
      </c>
      <c r="BM44" s="5">
        <v>0</v>
      </c>
      <c r="BN44" s="5">
        <v>0</v>
      </c>
      <c r="BO44" s="5" t="s">
        <v>155</v>
      </c>
      <c r="BP44" s="5">
        <v>128</v>
      </c>
      <c r="BQ44" s="5" t="s">
        <v>156</v>
      </c>
      <c r="BR44" s="5">
        <v>2</v>
      </c>
      <c r="BS44" s="5" t="s">
        <v>157</v>
      </c>
      <c r="BT44" s="5">
        <v>0</v>
      </c>
      <c r="BU44" s="5">
        <v>96</v>
      </c>
      <c r="BV44" s="5" t="b">
        <v>0</v>
      </c>
      <c r="BW44" s="5">
        <v>1000</v>
      </c>
      <c r="BX44" s="5">
        <v>0.3</v>
      </c>
      <c r="BY44" s="5" t="b">
        <v>0</v>
      </c>
      <c r="BZ44" s="5" t="s">
        <v>566</v>
      </c>
      <c r="CA44" s="5" t="s">
        <v>14</v>
      </c>
      <c r="CB44" s="5" t="s">
        <v>567</v>
      </c>
      <c r="CC44" s="5" t="s">
        <v>160</v>
      </c>
      <c r="CD44" s="5">
        <v>93</v>
      </c>
      <c r="CE44" s="5">
        <v>32</v>
      </c>
      <c r="CF44" s="5" t="b">
        <v>0</v>
      </c>
      <c r="CG44" s="5" t="s">
        <v>161</v>
      </c>
      <c r="CH44" s="5">
        <v>48</v>
      </c>
      <c r="CI44" s="5">
        <v>1</v>
      </c>
      <c r="CJ44" s="5">
        <v>0.25</v>
      </c>
      <c r="CK44" s="5">
        <v>7</v>
      </c>
      <c r="CL44" s="5" t="s">
        <v>568</v>
      </c>
      <c r="CM44" s="5">
        <v>7</v>
      </c>
      <c r="CN44" s="5" t="s">
        <v>163</v>
      </c>
      <c r="CO44" s="5">
        <v>0</v>
      </c>
      <c r="CP44" s="5" t="s">
        <v>183</v>
      </c>
      <c r="CQ44" s="5" t="s">
        <v>164</v>
      </c>
      <c r="CR44" s="5" t="s">
        <v>565</v>
      </c>
      <c r="CS44" s="5">
        <v>13</v>
      </c>
      <c r="CT44" s="5" t="b">
        <v>0</v>
      </c>
      <c r="CU44" s="5" t="s">
        <v>165</v>
      </c>
      <c r="CV44" s="5" t="b">
        <v>1</v>
      </c>
      <c r="CW44" s="5" t="b">
        <v>0</v>
      </c>
      <c r="CX44" s="5">
        <v>1</v>
      </c>
      <c r="CY44" s="5">
        <v>2</v>
      </c>
      <c r="CZ44" s="5" t="b">
        <v>0</v>
      </c>
      <c r="DA44" s="5" t="b">
        <v>0</v>
      </c>
      <c r="DB44" s="5" t="b">
        <v>0</v>
      </c>
      <c r="DC44" s="5" t="s">
        <v>166</v>
      </c>
      <c r="DD44" s="5" t="s">
        <v>167</v>
      </c>
      <c r="DE44" s="5" t="s">
        <v>168</v>
      </c>
      <c r="DF44" s="5">
        <v>0.5</v>
      </c>
      <c r="DG44" s="5">
        <v>10</v>
      </c>
      <c r="DH44" s="5">
        <v>0.3</v>
      </c>
      <c r="DI44" s="5">
        <v>1</v>
      </c>
      <c r="DJ44" s="5">
        <v>1</v>
      </c>
      <c r="DK44" s="5" t="s">
        <v>169</v>
      </c>
      <c r="DL44" s="5" t="b">
        <v>0</v>
      </c>
      <c r="DM44" s="5">
        <v>32</v>
      </c>
      <c r="DN44" s="5">
        <v>1</v>
      </c>
      <c r="DO44" s="5" t="s">
        <v>170</v>
      </c>
      <c r="DP44" s="5" t="s">
        <v>567</v>
      </c>
      <c r="DQ44" s="5" t="s">
        <v>171</v>
      </c>
      <c r="DR44" s="5" t="s">
        <v>172</v>
      </c>
      <c r="DS44" s="7" t="str">
        <f>_xlfn.XLOOKUP(CP44,datasetmap!B:B,datasetmap!A:A)</f>
        <v>SAD</v>
      </c>
      <c r="DT44" s="8">
        <f t="shared" si="0"/>
        <v>6.26409984</v>
      </c>
    </row>
    <row r="45" ht="17.6" spans="1:124">
      <c r="A45" s="5" t="s">
        <v>569</v>
      </c>
      <c r="B45" s="5">
        <v>32</v>
      </c>
      <c r="C45" s="5" t="s">
        <v>141</v>
      </c>
      <c r="D45" s="5" t="s">
        <v>570</v>
      </c>
      <c r="E45" s="5" t="s">
        <v>571</v>
      </c>
      <c r="F45" s="5" t="s">
        <v>572</v>
      </c>
      <c r="G45" s="6">
        <v>1.77912971516922e+18</v>
      </c>
      <c r="H45" s="5">
        <v>0.488883399209486</v>
      </c>
      <c r="I45" s="5">
        <v>0.488825780960612</v>
      </c>
      <c r="J45" s="5">
        <v>0.71409111</v>
      </c>
      <c r="K45" s="5">
        <v>0.488883399209486</v>
      </c>
      <c r="L45" s="6">
        <v>1.77912971516918e+18</v>
      </c>
      <c r="M45" s="5">
        <v>0.488888888888888</v>
      </c>
      <c r="N45" s="6">
        <v>1.77912971654489e+18</v>
      </c>
      <c r="O45" s="6">
        <v>1.77912967003522e+18</v>
      </c>
      <c r="P45" s="5">
        <v>42.868626867</v>
      </c>
      <c r="Q45" s="5">
        <v>0.25</v>
      </c>
      <c r="R45" s="5">
        <v>6</v>
      </c>
      <c r="S45" s="5" t="s">
        <v>145</v>
      </c>
      <c r="T45" s="5" t="s">
        <v>146</v>
      </c>
      <c r="U45" s="5" t="b">
        <v>0</v>
      </c>
      <c r="V45" s="5">
        <v>25</v>
      </c>
      <c r="W45" s="5">
        <v>0</v>
      </c>
      <c r="X45" s="5">
        <v>10</v>
      </c>
      <c r="Y45" s="5">
        <v>8</v>
      </c>
      <c r="Z45" s="5" t="b">
        <v>0</v>
      </c>
      <c r="AA45" s="5">
        <v>4</v>
      </c>
      <c r="AB45" s="5" t="b">
        <v>0</v>
      </c>
      <c r="AC45" s="5" t="b">
        <v>0</v>
      </c>
      <c r="AD45" s="5" t="s">
        <v>147</v>
      </c>
      <c r="AE45" s="5" t="s">
        <v>573</v>
      </c>
      <c r="AF45" s="5">
        <v>1</v>
      </c>
      <c r="AG45" s="5" t="b">
        <v>0</v>
      </c>
      <c r="AH45" s="5" t="b">
        <v>0</v>
      </c>
      <c r="AI45" s="5" t="s">
        <v>149</v>
      </c>
      <c r="AJ45" s="5">
        <v>3</v>
      </c>
      <c r="AK45" s="5" t="b">
        <v>0</v>
      </c>
      <c r="AL45" s="5">
        <v>2</v>
      </c>
      <c r="AM45" s="5">
        <v>0</v>
      </c>
      <c r="AN45" s="5">
        <v>0</v>
      </c>
      <c r="AO45" s="5" t="b">
        <v>0</v>
      </c>
      <c r="AP45" s="5">
        <v>0.001</v>
      </c>
      <c r="AQ45" s="5">
        <v>256</v>
      </c>
      <c r="AR45" s="5" t="b">
        <v>1</v>
      </c>
      <c r="AS45" s="5">
        <v>1</v>
      </c>
      <c r="AT45" s="5">
        <v>3</v>
      </c>
      <c r="AU45" s="5">
        <v>0.1</v>
      </c>
      <c r="AV45" s="5">
        <v>0.1</v>
      </c>
      <c r="AW45" s="5" t="b">
        <v>0</v>
      </c>
      <c r="AX45" s="5">
        <v>32</v>
      </c>
      <c r="AY45" s="5">
        <v>7</v>
      </c>
      <c r="AZ45" s="5">
        <v>1</v>
      </c>
      <c r="BA45" s="5">
        <v>16</v>
      </c>
      <c r="BB45" s="5" t="s">
        <v>200</v>
      </c>
      <c r="BC45" s="5" t="s">
        <v>151</v>
      </c>
      <c r="BD45" s="5">
        <v>10</v>
      </c>
      <c r="BE45" s="5" t="b">
        <v>0</v>
      </c>
      <c r="BF45" s="5" t="s">
        <v>152</v>
      </c>
      <c r="BG45" s="5" t="s">
        <v>574</v>
      </c>
      <c r="BH45" s="5">
        <v>0</v>
      </c>
      <c r="BI45" s="5" t="s">
        <v>154</v>
      </c>
      <c r="BJ45" s="5">
        <v>2</v>
      </c>
      <c r="BK45" s="5"/>
      <c r="BL45" s="5" t="b">
        <v>0</v>
      </c>
      <c r="BM45" s="5">
        <v>0</v>
      </c>
      <c r="BN45" s="5">
        <v>0</v>
      </c>
      <c r="BO45" s="5" t="s">
        <v>155</v>
      </c>
      <c r="BP45" s="5">
        <v>128</v>
      </c>
      <c r="BQ45" s="5" t="s">
        <v>156</v>
      </c>
      <c r="BR45" s="5">
        <v>2</v>
      </c>
      <c r="BS45" s="5" t="s">
        <v>157</v>
      </c>
      <c r="BT45" s="5">
        <v>0</v>
      </c>
      <c r="BU45" s="5">
        <v>96</v>
      </c>
      <c r="BV45" s="5" t="b">
        <v>0</v>
      </c>
      <c r="BW45" s="5">
        <v>1000</v>
      </c>
      <c r="BX45" s="5">
        <v>0.3</v>
      </c>
      <c r="BY45" s="5" t="b">
        <v>0</v>
      </c>
      <c r="BZ45" s="5" t="s">
        <v>575</v>
      </c>
      <c r="CA45" s="5" t="s">
        <v>14</v>
      </c>
      <c r="CB45" s="5" t="s">
        <v>576</v>
      </c>
      <c r="CC45" s="5" t="s">
        <v>160</v>
      </c>
      <c r="CD45" s="5">
        <v>1152</v>
      </c>
      <c r="CE45" s="5">
        <v>32</v>
      </c>
      <c r="CF45" s="5" t="b">
        <v>0</v>
      </c>
      <c r="CG45" s="5" t="s">
        <v>161</v>
      </c>
      <c r="CH45" s="5">
        <v>48</v>
      </c>
      <c r="CI45" s="5">
        <v>1</v>
      </c>
      <c r="CJ45" s="5">
        <v>0.25</v>
      </c>
      <c r="CK45" s="5">
        <v>7</v>
      </c>
      <c r="CL45" s="5" t="s">
        <v>577</v>
      </c>
      <c r="CM45" s="5">
        <v>7</v>
      </c>
      <c r="CN45" s="5" t="s">
        <v>163</v>
      </c>
      <c r="CO45" s="5">
        <v>0</v>
      </c>
      <c r="CP45" s="5" t="s">
        <v>205</v>
      </c>
      <c r="CQ45" s="5" t="s">
        <v>164</v>
      </c>
      <c r="CR45" s="5" t="s">
        <v>574</v>
      </c>
      <c r="CS45" s="5">
        <v>7</v>
      </c>
      <c r="CT45" s="5" t="b">
        <v>0</v>
      </c>
      <c r="CU45" s="5" t="s">
        <v>165</v>
      </c>
      <c r="CV45" s="5" t="b">
        <v>1</v>
      </c>
      <c r="CW45" s="5" t="b">
        <v>0</v>
      </c>
      <c r="CX45" s="5">
        <v>1</v>
      </c>
      <c r="CY45" s="5">
        <v>2</v>
      </c>
      <c r="CZ45" s="5" t="b">
        <v>0</v>
      </c>
      <c r="DA45" s="5" t="b">
        <v>0</v>
      </c>
      <c r="DB45" s="5" t="b">
        <v>0</v>
      </c>
      <c r="DC45" s="5" t="s">
        <v>166</v>
      </c>
      <c r="DD45" s="5" t="s">
        <v>167</v>
      </c>
      <c r="DE45" s="5" t="s">
        <v>168</v>
      </c>
      <c r="DF45" s="5">
        <v>0.5</v>
      </c>
      <c r="DG45" s="5">
        <v>10</v>
      </c>
      <c r="DH45" s="5">
        <v>0.3</v>
      </c>
      <c r="DI45" s="5">
        <v>1</v>
      </c>
      <c r="DJ45" s="5">
        <v>1</v>
      </c>
      <c r="DK45" s="5" t="s">
        <v>169</v>
      </c>
      <c r="DL45" s="5" t="b">
        <v>0</v>
      </c>
      <c r="DM45" s="5">
        <v>32</v>
      </c>
      <c r="DN45" s="5">
        <v>1</v>
      </c>
      <c r="DO45" s="5" t="s">
        <v>170</v>
      </c>
      <c r="DP45" s="5" t="s">
        <v>576</v>
      </c>
      <c r="DQ45" s="5" t="s">
        <v>171</v>
      </c>
      <c r="DR45" s="5" t="s">
        <v>172</v>
      </c>
      <c r="DS45" s="7" t="str">
        <f>_xlfn.XLOOKUP(CP45,datasetmap!B:B,datasetmap!A:A)</f>
        <v>SRS2</v>
      </c>
      <c r="DT45" s="8">
        <f t="shared" si="0"/>
        <v>1.375670016</v>
      </c>
    </row>
    <row r="46" ht="17.6" spans="1:124">
      <c r="A46" s="5" t="s">
        <v>578</v>
      </c>
      <c r="B46" s="5">
        <v>32</v>
      </c>
      <c r="C46" s="5" t="s">
        <v>141</v>
      </c>
      <c r="D46" s="5" t="s">
        <v>579</v>
      </c>
      <c r="E46" s="5" t="s">
        <v>580</v>
      </c>
      <c r="F46" s="5" t="s">
        <v>581</v>
      </c>
      <c r="G46" s="6">
        <v>1.77912964340781e+18</v>
      </c>
      <c r="H46" s="5">
        <v>0.865151588776202</v>
      </c>
      <c r="I46" s="5">
        <v>0.863306057606437</v>
      </c>
      <c r="J46" s="5">
        <v>0.432479772</v>
      </c>
      <c r="K46" s="5">
        <v>0.865151588776202</v>
      </c>
      <c r="L46" s="6">
        <v>1.77912964340773e+18</v>
      </c>
      <c r="M46" s="5">
        <v>0.863481228668942</v>
      </c>
      <c r="N46" s="6">
        <v>1.77912964465633e+18</v>
      </c>
      <c r="O46" s="6">
        <v>1.77912962479075e+18</v>
      </c>
      <c r="P46" s="5">
        <v>16.034783245</v>
      </c>
      <c r="Q46" s="5">
        <v>0.25</v>
      </c>
      <c r="R46" s="5">
        <v>6</v>
      </c>
      <c r="S46" s="5" t="s">
        <v>145</v>
      </c>
      <c r="T46" s="5" t="s">
        <v>146</v>
      </c>
      <c r="U46" s="5" t="b">
        <v>0</v>
      </c>
      <c r="V46" s="5">
        <v>25</v>
      </c>
      <c r="W46" s="5">
        <v>0</v>
      </c>
      <c r="X46" s="5">
        <v>10</v>
      </c>
      <c r="Y46" s="5">
        <v>8</v>
      </c>
      <c r="Z46" s="5" t="b">
        <v>0</v>
      </c>
      <c r="AA46" s="5">
        <v>4</v>
      </c>
      <c r="AB46" s="5" t="b">
        <v>0</v>
      </c>
      <c r="AC46" s="5" t="b">
        <v>0</v>
      </c>
      <c r="AD46" s="5" t="s">
        <v>147</v>
      </c>
      <c r="AE46" s="5" t="s">
        <v>582</v>
      </c>
      <c r="AF46" s="5">
        <v>1</v>
      </c>
      <c r="AG46" s="5" t="b">
        <v>0</v>
      </c>
      <c r="AH46" s="5" t="b">
        <v>0</v>
      </c>
      <c r="AI46" s="5" t="s">
        <v>149</v>
      </c>
      <c r="AJ46" s="5">
        <v>3</v>
      </c>
      <c r="AK46" s="5" t="b">
        <v>0</v>
      </c>
      <c r="AL46" s="5">
        <v>2</v>
      </c>
      <c r="AM46" s="5">
        <v>0</v>
      </c>
      <c r="AN46" s="5">
        <v>0</v>
      </c>
      <c r="AO46" s="5" t="b">
        <v>0</v>
      </c>
      <c r="AP46" s="5">
        <v>0.001</v>
      </c>
      <c r="AQ46" s="5">
        <v>256</v>
      </c>
      <c r="AR46" s="5" t="b">
        <v>1</v>
      </c>
      <c r="AS46" s="5">
        <v>1</v>
      </c>
      <c r="AT46" s="5">
        <v>3</v>
      </c>
      <c r="AU46" s="5">
        <v>0.1</v>
      </c>
      <c r="AV46" s="5">
        <v>0.1</v>
      </c>
      <c r="AW46" s="5" t="b">
        <v>0</v>
      </c>
      <c r="AX46" s="5">
        <v>32</v>
      </c>
      <c r="AY46" s="5">
        <v>7</v>
      </c>
      <c r="AZ46" s="5">
        <v>1</v>
      </c>
      <c r="BA46" s="5">
        <v>16</v>
      </c>
      <c r="BB46" s="5" t="s">
        <v>211</v>
      </c>
      <c r="BC46" s="5" t="s">
        <v>151</v>
      </c>
      <c r="BD46" s="5">
        <v>10</v>
      </c>
      <c r="BE46" s="5" t="b">
        <v>0</v>
      </c>
      <c r="BF46" s="5" t="s">
        <v>152</v>
      </c>
      <c r="BG46" s="5" t="s">
        <v>583</v>
      </c>
      <c r="BH46" s="5">
        <v>0</v>
      </c>
      <c r="BI46" s="5" t="s">
        <v>154</v>
      </c>
      <c r="BJ46" s="5">
        <v>2</v>
      </c>
      <c r="BK46" s="5"/>
      <c r="BL46" s="5" t="b">
        <v>0</v>
      </c>
      <c r="BM46" s="5">
        <v>0</v>
      </c>
      <c r="BN46" s="5">
        <v>0</v>
      </c>
      <c r="BO46" s="5" t="s">
        <v>155</v>
      </c>
      <c r="BP46" s="5">
        <v>128</v>
      </c>
      <c r="BQ46" s="5" t="s">
        <v>156</v>
      </c>
      <c r="BR46" s="5">
        <v>2</v>
      </c>
      <c r="BS46" s="5" t="s">
        <v>157</v>
      </c>
      <c r="BT46" s="5">
        <v>0</v>
      </c>
      <c r="BU46" s="5">
        <v>96</v>
      </c>
      <c r="BV46" s="5" t="b">
        <v>0</v>
      </c>
      <c r="BW46" s="5">
        <v>1000</v>
      </c>
      <c r="BX46" s="5">
        <v>0.3</v>
      </c>
      <c r="BY46" s="5" t="b">
        <v>0</v>
      </c>
      <c r="BZ46" s="5" t="s">
        <v>584</v>
      </c>
      <c r="CA46" s="5" t="s">
        <v>14</v>
      </c>
      <c r="CB46" s="5" t="s">
        <v>585</v>
      </c>
      <c r="CC46" s="5" t="s">
        <v>160</v>
      </c>
      <c r="CD46" s="5">
        <v>896</v>
      </c>
      <c r="CE46" s="5">
        <v>32</v>
      </c>
      <c r="CF46" s="5" t="b">
        <v>0</v>
      </c>
      <c r="CG46" s="5" t="s">
        <v>161</v>
      </c>
      <c r="CH46" s="5">
        <v>48</v>
      </c>
      <c r="CI46" s="5">
        <v>1</v>
      </c>
      <c r="CJ46" s="5">
        <v>0.25</v>
      </c>
      <c r="CK46" s="5">
        <v>7</v>
      </c>
      <c r="CL46" s="5" t="s">
        <v>586</v>
      </c>
      <c r="CM46" s="5">
        <v>7</v>
      </c>
      <c r="CN46" s="5" t="s">
        <v>163</v>
      </c>
      <c r="CO46" s="5">
        <v>0</v>
      </c>
      <c r="CP46" s="5" t="s">
        <v>216</v>
      </c>
      <c r="CQ46" s="5" t="s">
        <v>164</v>
      </c>
      <c r="CR46" s="5" t="s">
        <v>583</v>
      </c>
      <c r="CS46" s="5">
        <v>6</v>
      </c>
      <c r="CT46" s="5" t="b">
        <v>0</v>
      </c>
      <c r="CU46" s="5" t="s">
        <v>165</v>
      </c>
      <c r="CV46" s="5" t="b">
        <v>1</v>
      </c>
      <c r="CW46" s="5" t="b">
        <v>0</v>
      </c>
      <c r="CX46" s="5">
        <v>1</v>
      </c>
      <c r="CY46" s="5">
        <v>2</v>
      </c>
      <c r="CZ46" s="5" t="b">
        <v>0</v>
      </c>
      <c r="DA46" s="5" t="b">
        <v>0</v>
      </c>
      <c r="DB46" s="5" t="b">
        <v>0</v>
      </c>
      <c r="DC46" s="5" t="s">
        <v>166</v>
      </c>
      <c r="DD46" s="5" t="s">
        <v>167</v>
      </c>
      <c r="DE46" s="5" t="s">
        <v>168</v>
      </c>
      <c r="DF46" s="5">
        <v>0.5</v>
      </c>
      <c r="DG46" s="5">
        <v>10</v>
      </c>
      <c r="DH46" s="5">
        <v>0.3</v>
      </c>
      <c r="DI46" s="5">
        <v>1</v>
      </c>
      <c r="DJ46" s="5">
        <v>1</v>
      </c>
      <c r="DK46" s="5" t="s">
        <v>169</v>
      </c>
      <c r="DL46" s="5" t="b">
        <v>0</v>
      </c>
      <c r="DM46" s="5">
        <v>32</v>
      </c>
      <c r="DN46" s="5">
        <v>1</v>
      </c>
      <c r="DO46" s="5" t="s">
        <v>170</v>
      </c>
      <c r="DP46" s="5" t="s">
        <v>585</v>
      </c>
      <c r="DQ46" s="5" t="s">
        <v>171</v>
      </c>
      <c r="DR46" s="5" t="s">
        <v>172</v>
      </c>
      <c r="DS46" s="7" t="str">
        <f>_xlfn.XLOOKUP(CP46,datasetmap!B:B,datasetmap!A:A)</f>
        <v>SRS1</v>
      </c>
      <c r="DT46" s="8">
        <f t="shared" si="0"/>
        <v>1.248519936</v>
      </c>
    </row>
    <row r="47" ht="17.6" spans="1:124">
      <c r="A47" s="5" t="s">
        <v>587</v>
      </c>
      <c r="B47" s="5">
        <v>32</v>
      </c>
      <c r="C47" s="5" t="s">
        <v>141</v>
      </c>
      <c r="D47" s="5" t="s">
        <v>588</v>
      </c>
      <c r="E47" s="5" t="s">
        <v>589</v>
      </c>
      <c r="F47" s="5" t="s">
        <v>590</v>
      </c>
      <c r="G47" s="6">
        <v>1.7791295980039e+18</v>
      </c>
      <c r="H47" s="5">
        <v>0.951006827567933</v>
      </c>
      <c r="I47" s="5">
        <v>0.94909341848047</v>
      </c>
      <c r="J47" s="5">
        <v>0.45583859</v>
      </c>
      <c r="K47" s="5">
        <v>0.951006827567933</v>
      </c>
      <c r="L47" s="6">
        <v>1.77912959800382e+18</v>
      </c>
      <c r="M47" s="5">
        <v>0.948648648648648</v>
      </c>
      <c r="N47" s="6">
        <v>1.77912959917141e+18</v>
      </c>
      <c r="O47" s="6">
        <v>1.77912952638024e+18</v>
      </c>
      <c r="P47" s="5">
        <v>69.315337938</v>
      </c>
      <c r="Q47" s="5">
        <v>0.25</v>
      </c>
      <c r="R47" s="5">
        <v>6</v>
      </c>
      <c r="S47" s="5" t="s">
        <v>145</v>
      </c>
      <c r="T47" s="5" t="s">
        <v>146</v>
      </c>
      <c r="U47" s="5" t="b">
        <v>0</v>
      </c>
      <c r="V47" s="5">
        <v>25</v>
      </c>
      <c r="W47" s="5">
        <v>0</v>
      </c>
      <c r="X47" s="5">
        <v>10</v>
      </c>
      <c r="Y47" s="5">
        <v>8</v>
      </c>
      <c r="Z47" s="5" t="b">
        <v>0</v>
      </c>
      <c r="AA47" s="5">
        <v>4</v>
      </c>
      <c r="AB47" s="5" t="b">
        <v>0</v>
      </c>
      <c r="AC47" s="5" t="b">
        <v>0</v>
      </c>
      <c r="AD47" s="5" t="s">
        <v>147</v>
      </c>
      <c r="AE47" s="5" t="s">
        <v>591</v>
      </c>
      <c r="AF47" s="5">
        <v>1</v>
      </c>
      <c r="AG47" s="5" t="b">
        <v>0</v>
      </c>
      <c r="AH47" s="5" t="b">
        <v>0</v>
      </c>
      <c r="AI47" s="5" t="s">
        <v>149</v>
      </c>
      <c r="AJ47" s="5">
        <v>3</v>
      </c>
      <c r="AK47" s="5" t="b">
        <v>0</v>
      </c>
      <c r="AL47" s="5">
        <v>9</v>
      </c>
      <c r="AM47" s="5">
        <v>0</v>
      </c>
      <c r="AN47" s="5">
        <v>0</v>
      </c>
      <c r="AO47" s="5" t="b">
        <v>0</v>
      </c>
      <c r="AP47" s="5">
        <v>0.001</v>
      </c>
      <c r="AQ47" s="5">
        <v>256</v>
      </c>
      <c r="AR47" s="5" t="b">
        <v>1</v>
      </c>
      <c r="AS47" s="5">
        <v>1</v>
      </c>
      <c r="AT47" s="5">
        <v>3</v>
      </c>
      <c r="AU47" s="5">
        <v>0.1</v>
      </c>
      <c r="AV47" s="5">
        <v>0.1</v>
      </c>
      <c r="AW47" s="5" t="b">
        <v>0</v>
      </c>
      <c r="AX47" s="5">
        <v>32</v>
      </c>
      <c r="AY47" s="5">
        <v>7</v>
      </c>
      <c r="AZ47" s="5">
        <v>1</v>
      </c>
      <c r="BA47" s="5">
        <v>16</v>
      </c>
      <c r="BB47" s="5" t="s">
        <v>222</v>
      </c>
      <c r="BC47" s="5" t="s">
        <v>151</v>
      </c>
      <c r="BD47" s="5">
        <v>10</v>
      </c>
      <c r="BE47" s="5" t="b">
        <v>0</v>
      </c>
      <c r="BF47" s="5" t="s">
        <v>152</v>
      </c>
      <c r="BG47" s="5" t="s">
        <v>592</v>
      </c>
      <c r="BH47" s="5">
        <v>0</v>
      </c>
      <c r="BI47" s="5" t="s">
        <v>154</v>
      </c>
      <c r="BJ47" s="5">
        <v>2</v>
      </c>
      <c r="BK47" s="5"/>
      <c r="BL47" s="5" t="b">
        <v>0</v>
      </c>
      <c r="BM47" s="5">
        <v>0</v>
      </c>
      <c r="BN47" s="5">
        <v>0</v>
      </c>
      <c r="BO47" s="5" t="s">
        <v>155</v>
      </c>
      <c r="BP47" s="5">
        <v>128</v>
      </c>
      <c r="BQ47" s="5" t="s">
        <v>156</v>
      </c>
      <c r="BR47" s="5">
        <v>2</v>
      </c>
      <c r="BS47" s="5" t="s">
        <v>157</v>
      </c>
      <c r="BT47" s="5">
        <v>0</v>
      </c>
      <c r="BU47" s="5">
        <v>96</v>
      </c>
      <c r="BV47" s="5" t="b">
        <v>0</v>
      </c>
      <c r="BW47" s="5">
        <v>1000</v>
      </c>
      <c r="BX47" s="5">
        <v>0.3</v>
      </c>
      <c r="BY47" s="5" t="b">
        <v>0</v>
      </c>
      <c r="BZ47" s="5" t="s">
        <v>593</v>
      </c>
      <c r="CA47" s="5" t="s">
        <v>14</v>
      </c>
      <c r="CB47" s="5" t="s">
        <v>594</v>
      </c>
      <c r="CC47" s="5" t="s">
        <v>160</v>
      </c>
      <c r="CD47" s="5">
        <v>29</v>
      </c>
      <c r="CE47" s="5">
        <v>32</v>
      </c>
      <c r="CF47" s="5" t="b">
        <v>0</v>
      </c>
      <c r="CG47" s="5" t="s">
        <v>161</v>
      </c>
      <c r="CH47" s="5">
        <v>48</v>
      </c>
      <c r="CI47" s="5">
        <v>1</v>
      </c>
      <c r="CJ47" s="5">
        <v>0.25</v>
      </c>
      <c r="CK47" s="5">
        <v>7</v>
      </c>
      <c r="CL47" s="5" t="s">
        <v>595</v>
      </c>
      <c r="CM47" s="5">
        <v>7</v>
      </c>
      <c r="CN47" s="5" t="s">
        <v>163</v>
      </c>
      <c r="CO47" s="5">
        <v>0</v>
      </c>
      <c r="CP47" s="5" t="s">
        <v>227</v>
      </c>
      <c r="CQ47" s="5" t="s">
        <v>164</v>
      </c>
      <c r="CR47" s="5" t="s">
        <v>592</v>
      </c>
      <c r="CS47" s="5">
        <v>12</v>
      </c>
      <c r="CT47" s="5" t="b">
        <v>0</v>
      </c>
      <c r="CU47" s="5" t="s">
        <v>165</v>
      </c>
      <c r="CV47" s="5" t="b">
        <v>1</v>
      </c>
      <c r="CW47" s="5" t="b">
        <v>0</v>
      </c>
      <c r="CX47" s="5">
        <v>1</v>
      </c>
      <c r="CY47" s="5">
        <v>2</v>
      </c>
      <c r="CZ47" s="5" t="b">
        <v>0</v>
      </c>
      <c r="DA47" s="5" t="b">
        <v>0</v>
      </c>
      <c r="DB47" s="5" t="b">
        <v>0</v>
      </c>
      <c r="DC47" s="5" t="s">
        <v>166</v>
      </c>
      <c r="DD47" s="5" t="s">
        <v>167</v>
      </c>
      <c r="DE47" s="5" t="s">
        <v>168</v>
      </c>
      <c r="DF47" s="5">
        <v>0.5</v>
      </c>
      <c r="DG47" s="5">
        <v>10</v>
      </c>
      <c r="DH47" s="5">
        <v>0.3</v>
      </c>
      <c r="DI47" s="5">
        <v>1</v>
      </c>
      <c r="DJ47" s="5">
        <v>1</v>
      </c>
      <c r="DK47" s="5" t="s">
        <v>169</v>
      </c>
      <c r="DL47" s="5" t="b">
        <v>0</v>
      </c>
      <c r="DM47" s="5">
        <v>32</v>
      </c>
      <c r="DN47" s="5">
        <v>1</v>
      </c>
      <c r="DO47" s="5" t="s">
        <v>170</v>
      </c>
      <c r="DP47" s="5" t="s">
        <v>594</v>
      </c>
      <c r="DQ47" s="5" t="s">
        <v>171</v>
      </c>
      <c r="DR47" s="5" t="s">
        <v>172</v>
      </c>
      <c r="DS47" s="7" t="str">
        <f>_xlfn.XLOOKUP(CP47,datasetmap!B:B,datasetmap!A:A)</f>
        <v>JV</v>
      </c>
      <c r="DT47" s="8">
        <f t="shared" si="0"/>
        <v>1.167510016</v>
      </c>
    </row>
    <row r="48" ht="17.6" spans="1:124">
      <c r="A48" s="5" t="s">
        <v>596</v>
      </c>
      <c r="B48" s="5">
        <v>32</v>
      </c>
      <c r="C48" s="5" t="s">
        <v>141</v>
      </c>
      <c r="D48" s="5" t="s">
        <v>597</v>
      </c>
      <c r="E48" s="5" t="s">
        <v>598</v>
      </c>
      <c r="F48" s="5" t="s">
        <v>599</v>
      </c>
      <c r="G48" s="6">
        <v>1.77912949308943e+18</v>
      </c>
      <c r="H48" s="5">
        <v>0.643912342574813</v>
      </c>
      <c r="I48" s="5">
        <v>0.638689270025334</v>
      </c>
      <c r="J48" s="5">
        <v>0.534615831</v>
      </c>
      <c r="K48" s="5">
        <v>0.643912342574813</v>
      </c>
      <c r="L48" s="6">
        <v>1.77912949308936e+18</v>
      </c>
      <c r="M48" s="5">
        <v>0.634146341463414</v>
      </c>
      <c r="N48" s="6">
        <v>1.77912949696761e+18</v>
      </c>
      <c r="O48" s="6">
        <v>1.77912945563848e+18</v>
      </c>
      <c r="P48" s="5">
        <v>27.333083528</v>
      </c>
      <c r="Q48" s="5">
        <v>0.25</v>
      </c>
      <c r="R48" s="5">
        <v>6</v>
      </c>
      <c r="S48" s="5" t="s">
        <v>145</v>
      </c>
      <c r="T48" s="5" t="s">
        <v>146</v>
      </c>
      <c r="U48" s="5" t="b">
        <v>0</v>
      </c>
      <c r="V48" s="5">
        <v>25</v>
      </c>
      <c r="W48" s="5">
        <v>0</v>
      </c>
      <c r="X48" s="5">
        <v>10</v>
      </c>
      <c r="Y48" s="5">
        <v>8</v>
      </c>
      <c r="Z48" s="5" t="b">
        <v>0</v>
      </c>
      <c r="AA48" s="5">
        <v>4</v>
      </c>
      <c r="AB48" s="5" t="b">
        <v>0</v>
      </c>
      <c r="AC48" s="5" t="b">
        <v>0</v>
      </c>
      <c r="AD48" s="5" t="s">
        <v>147</v>
      </c>
      <c r="AE48" s="5" t="s">
        <v>600</v>
      </c>
      <c r="AF48" s="5">
        <v>1</v>
      </c>
      <c r="AG48" s="5" t="b">
        <v>0</v>
      </c>
      <c r="AH48" s="5" t="b">
        <v>0</v>
      </c>
      <c r="AI48" s="5" t="s">
        <v>149</v>
      </c>
      <c r="AJ48" s="5">
        <v>3</v>
      </c>
      <c r="AK48" s="5" t="b">
        <v>0</v>
      </c>
      <c r="AL48" s="5">
        <v>2</v>
      </c>
      <c r="AM48" s="5">
        <v>0</v>
      </c>
      <c r="AN48" s="5">
        <v>0</v>
      </c>
      <c r="AO48" s="5" t="b">
        <v>0</v>
      </c>
      <c r="AP48" s="5">
        <v>0.001</v>
      </c>
      <c r="AQ48" s="5">
        <v>256</v>
      </c>
      <c r="AR48" s="5" t="b">
        <v>1</v>
      </c>
      <c r="AS48" s="5">
        <v>1</v>
      </c>
      <c r="AT48" s="5">
        <v>3</v>
      </c>
      <c r="AU48" s="5">
        <v>0.1</v>
      </c>
      <c r="AV48" s="5">
        <v>0.1</v>
      </c>
      <c r="AW48" s="5" t="b">
        <v>0</v>
      </c>
      <c r="AX48" s="5">
        <v>32</v>
      </c>
      <c r="AY48" s="5">
        <v>7</v>
      </c>
      <c r="AZ48" s="5">
        <v>1</v>
      </c>
      <c r="BA48" s="5">
        <v>16</v>
      </c>
      <c r="BB48" s="5" t="s">
        <v>233</v>
      </c>
      <c r="BC48" s="5" t="s">
        <v>151</v>
      </c>
      <c r="BD48" s="5">
        <v>10</v>
      </c>
      <c r="BE48" s="5" t="b">
        <v>0</v>
      </c>
      <c r="BF48" s="5" t="s">
        <v>152</v>
      </c>
      <c r="BG48" s="5" t="s">
        <v>601</v>
      </c>
      <c r="BH48" s="5">
        <v>0</v>
      </c>
      <c r="BI48" s="5" t="s">
        <v>154</v>
      </c>
      <c r="BJ48" s="5">
        <v>2</v>
      </c>
      <c r="BK48" s="5"/>
      <c r="BL48" s="5" t="b">
        <v>0</v>
      </c>
      <c r="BM48" s="5">
        <v>0</v>
      </c>
      <c r="BN48" s="5">
        <v>0</v>
      </c>
      <c r="BO48" s="5" t="s">
        <v>155</v>
      </c>
      <c r="BP48" s="5">
        <v>128</v>
      </c>
      <c r="BQ48" s="5" t="s">
        <v>156</v>
      </c>
      <c r="BR48" s="5">
        <v>2</v>
      </c>
      <c r="BS48" s="5" t="s">
        <v>157</v>
      </c>
      <c r="BT48" s="5">
        <v>0</v>
      </c>
      <c r="BU48" s="5">
        <v>96</v>
      </c>
      <c r="BV48" s="5" t="b">
        <v>0</v>
      </c>
      <c r="BW48" s="5">
        <v>1000</v>
      </c>
      <c r="BX48" s="5">
        <v>0.3</v>
      </c>
      <c r="BY48" s="5" t="b">
        <v>0</v>
      </c>
      <c r="BZ48" s="5" t="s">
        <v>602</v>
      </c>
      <c r="CA48" s="5" t="s">
        <v>14</v>
      </c>
      <c r="CB48" s="5" t="s">
        <v>603</v>
      </c>
      <c r="CC48" s="5" t="s">
        <v>160</v>
      </c>
      <c r="CD48" s="5">
        <v>405</v>
      </c>
      <c r="CE48" s="5">
        <v>32</v>
      </c>
      <c r="CF48" s="5" t="b">
        <v>0</v>
      </c>
      <c r="CG48" s="5" t="s">
        <v>161</v>
      </c>
      <c r="CH48" s="5">
        <v>48</v>
      </c>
      <c r="CI48" s="5">
        <v>1</v>
      </c>
      <c r="CJ48" s="5">
        <v>0.25</v>
      </c>
      <c r="CK48" s="5">
        <v>7</v>
      </c>
      <c r="CL48" s="5" t="s">
        <v>604</v>
      </c>
      <c r="CM48" s="5">
        <v>7</v>
      </c>
      <c r="CN48" s="5" t="s">
        <v>163</v>
      </c>
      <c r="CO48" s="5">
        <v>0</v>
      </c>
      <c r="CP48" s="5" t="s">
        <v>238</v>
      </c>
      <c r="CQ48" s="5" t="s">
        <v>164</v>
      </c>
      <c r="CR48" s="5" t="s">
        <v>601</v>
      </c>
      <c r="CS48" s="5">
        <v>61</v>
      </c>
      <c r="CT48" s="5" t="b">
        <v>0</v>
      </c>
      <c r="CU48" s="5" t="s">
        <v>165</v>
      </c>
      <c r="CV48" s="5" t="b">
        <v>1</v>
      </c>
      <c r="CW48" s="5" t="b">
        <v>0</v>
      </c>
      <c r="CX48" s="5">
        <v>1</v>
      </c>
      <c r="CY48" s="5">
        <v>2</v>
      </c>
      <c r="CZ48" s="5" t="b">
        <v>0</v>
      </c>
      <c r="DA48" s="5" t="b">
        <v>0</v>
      </c>
      <c r="DB48" s="5" t="b">
        <v>0</v>
      </c>
      <c r="DC48" s="5" t="s">
        <v>166</v>
      </c>
      <c r="DD48" s="5" t="s">
        <v>167</v>
      </c>
      <c r="DE48" s="5" t="s">
        <v>168</v>
      </c>
      <c r="DF48" s="5">
        <v>0.5</v>
      </c>
      <c r="DG48" s="5">
        <v>10</v>
      </c>
      <c r="DH48" s="5">
        <v>0.3</v>
      </c>
      <c r="DI48" s="5">
        <v>1</v>
      </c>
      <c r="DJ48" s="5">
        <v>1</v>
      </c>
      <c r="DK48" s="5" t="s">
        <v>169</v>
      </c>
      <c r="DL48" s="5" t="b">
        <v>0</v>
      </c>
      <c r="DM48" s="5">
        <v>32</v>
      </c>
      <c r="DN48" s="5">
        <v>1</v>
      </c>
      <c r="DO48" s="5" t="s">
        <v>170</v>
      </c>
      <c r="DP48" s="5" t="s">
        <v>603</v>
      </c>
      <c r="DQ48" s="5" t="s">
        <v>171</v>
      </c>
      <c r="DR48" s="5" t="s">
        <v>172</v>
      </c>
      <c r="DS48" s="7" t="str">
        <f>_xlfn.XLOOKUP(CP48,datasetmap!B:B,datasetmap!A:A)</f>
        <v>HB</v>
      </c>
      <c r="DT48" s="8">
        <f t="shared" si="0"/>
        <v>3.878180096</v>
      </c>
    </row>
    <row r="49" ht="17.6" spans="1:124">
      <c r="A49" s="5" t="s">
        <v>605</v>
      </c>
      <c r="B49" s="5">
        <v>32</v>
      </c>
      <c r="C49" s="5" t="s">
        <v>141</v>
      </c>
      <c r="D49" s="5" t="s">
        <v>606</v>
      </c>
      <c r="E49" s="5" t="s">
        <v>607</v>
      </c>
      <c r="F49" s="5" t="s">
        <v>608</v>
      </c>
      <c r="G49" s="6">
        <v>1.77912940771459e+18</v>
      </c>
      <c r="H49" s="5">
        <v>0.273763379271152</v>
      </c>
      <c r="I49" s="5">
        <v>0.239594392634398</v>
      </c>
      <c r="J49" s="5">
        <v>0.498613404</v>
      </c>
      <c r="K49" s="5">
        <v>0.273763379271152</v>
      </c>
      <c r="L49" s="6">
        <v>1.77912940771453e+18</v>
      </c>
      <c r="M49" s="5">
        <v>0.254117647058823</v>
      </c>
      <c r="N49" s="6">
        <v>1.77912940894413e+18</v>
      </c>
      <c r="O49" s="6">
        <v>1.77912935703208e+18</v>
      </c>
      <c r="P49" s="5">
        <v>48.894350312</v>
      </c>
      <c r="Q49" s="5">
        <v>0.25</v>
      </c>
      <c r="R49" s="5">
        <v>6</v>
      </c>
      <c r="S49" s="5" t="s">
        <v>145</v>
      </c>
      <c r="T49" s="5" t="s">
        <v>146</v>
      </c>
      <c r="U49" s="5" t="b">
        <v>0</v>
      </c>
      <c r="V49" s="5">
        <v>25</v>
      </c>
      <c r="W49" s="5">
        <v>0</v>
      </c>
      <c r="X49" s="5">
        <v>10</v>
      </c>
      <c r="Y49" s="5">
        <v>8</v>
      </c>
      <c r="Z49" s="5" t="b">
        <v>0</v>
      </c>
      <c r="AA49" s="5">
        <v>4</v>
      </c>
      <c r="AB49" s="5" t="b">
        <v>0</v>
      </c>
      <c r="AC49" s="5" t="b">
        <v>0</v>
      </c>
      <c r="AD49" s="5" t="s">
        <v>147</v>
      </c>
      <c r="AE49" s="5" t="s">
        <v>609</v>
      </c>
      <c r="AF49" s="5">
        <v>1</v>
      </c>
      <c r="AG49" s="5" t="b">
        <v>0</v>
      </c>
      <c r="AH49" s="5" t="b">
        <v>0</v>
      </c>
      <c r="AI49" s="5" t="s">
        <v>149</v>
      </c>
      <c r="AJ49" s="5">
        <v>3</v>
      </c>
      <c r="AK49" s="5" t="b">
        <v>0</v>
      </c>
      <c r="AL49" s="5">
        <v>26</v>
      </c>
      <c r="AM49" s="5">
        <v>0</v>
      </c>
      <c r="AN49" s="5">
        <v>0</v>
      </c>
      <c r="AO49" s="5" t="b">
        <v>0</v>
      </c>
      <c r="AP49" s="5">
        <v>0.001</v>
      </c>
      <c r="AQ49" s="5">
        <v>256</v>
      </c>
      <c r="AR49" s="5" t="b">
        <v>1</v>
      </c>
      <c r="AS49" s="5">
        <v>1</v>
      </c>
      <c r="AT49" s="5">
        <v>3</v>
      </c>
      <c r="AU49" s="5">
        <v>0.1</v>
      </c>
      <c r="AV49" s="5">
        <v>0.1</v>
      </c>
      <c r="AW49" s="5" t="b">
        <v>0</v>
      </c>
      <c r="AX49" s="5">
        <v>32</v>
      </c>
      <c r="AY49" s="5">
        <v>7</v>
      </c>
      <c r="AZ49" s="5">
        <v>1</v>
      </c>
      <c r="BA49" s="5">
        <v>16</v>
      </c>
      <c r="BB49" s="5" t="s">
        <v>244</v>
      </c>
      <c r="BC49" s="5" t="s">
        <v>151</v>
      </c>
      <c r="BD49" s="5">
        <v>10</v>
      </c>
      <c r="BE49" s="5" t="b">
        <v>0</v>
      </c>
      <c r="BF49" s="5" t="s">
        <v>152</v>
      </c>
      <c r="BG49" s="5" t="s">
        <v>610</v>
      </c>
      <c r="BH49" s="5">
        <v>0</v>
      </c>
      <c r="BI49" s="5" t="s">
        <v>154</v>
      </c>
      <c r="BJ49" s="5">
        <v>2</v>
      </c>
      <c r="BK49" s="5"/>
      <c r="BL49" s="5" t="b">
        <v>0</v>
      </c>
      <c r="BM49" s="5">
        <v>0</v>
      </c>
      <c r="BN49" s="5">
        <v>0</v>
      </c>
      <c r="BO49" s="5" t="s">
        <v>155</v>
      </c>
      <c r="BP49" s="5">
        <v>128</v>
      </c>
      <c r="BQ49" s="5" t="s">
        <v>156</v>
      </c>
      <c r="BR49" s="5">
        <v>2</v>
      </c>
      <c r="BS49" s="5" t="s">
        <v>157</v>
      </c>
      <c r="BT49" s="5">
        <v>0</v>
      </c>
      <c r="BU49" s="5">
        <v>96</v>
      </c>
      <c r="BV49" s="5" t="b">
        <v>0</v>
      </c>
      <c r="BW49" s="5">
        <v>1000</v>
      </c>
      <c r="BX49" s="5">
        <v>0.3</v>
      </c>
      <c r="BY49" s="5" t="b">
        <v>0</v>
      </c>
      <c r="BZ49" s="5" t="s">
        <v>611</v>
      </c>
      <c r="CA49" s="5" t="s">
        <v>14</v>
      </c>
      <c r="CB49" s="5" t="s">
        <v>612</v>
      </c>
      <c r="CC49" s="5" t="s">
        <v>160</v>
      </c>
      <c r="CD49" s="5">
        <v>152</v>
      </c>
      <c r="CE49" s="5">
        <v>32</v>
      </c>
      <c r="CF49" s="5" t="b">
        <v>0</v>
      </c>
      <c r="CG49" s="5" t="s">
        <v>161</v>
      </c>
      <c r="CH49" s="5">
        <v>48</v>
      </c>
      <c r="CI49" s="5">
        <v>1</v>
      </c>
      <c r="CJ49" s="5">
        <v>0.25</v>
      </c>
      <c r="CK49" s="5">
        <v>7</v>
      </c>
      <c r="CL49" s="5" t="s">
        <v>613</v>
      </c>
      <c r="CM49" s="5">
        <v>7</v>
      </c>
      <c r="CN49" s="5" t="s">
        <v>163</v>
      </c>
      <c r="CO49" s="5">
        <v>0</v>
      </c>
      <c r="CP49" s="5" t="s">
        <v>249</v>
      </c>
      <c r="CQ49" s="5" t="s">
        <v>164</v>
      </c>
      <c r="CR49" s="5" t="s">
        <v>610</v>
      </c>
      <c r="CS49" s="5">
        <v>3</v>
      </c>
      <c r="CT49" s="5" t="b">
        <v>0</v>
      </c>
      <c r="CU49" s="5" t="s">
        <v>165</v>
      </c>
      <c r="CV49" s="5" t="b">
        <v>1</v>
      </c>
      <c r="CW49" s="5" t="b">
        <v>0</v>
      </c>
      <c r="CX49" s="5">
        <v>1</v>
      </c>
      <c r="CY49" s="5">
        <v>2</v>
      </c>
      <c r="CZ49" s="5" t="b">
        <v>0</v>
      </c>
      <c r="DA49" s="5" t="b">
        <v>0</v>
      </c>
      <c r="DB49" s="5" t="b">
        <v>0</v>
      </c>
      <c r="DC49" s="5" t="s">
        <v>166</v>
      </c>
      <c r="DD49" s="5" t="s">
        <v>167</v>
      </c>
      <c r="DE49" s="5" t="s">
        <v>168</v>
      </c>
      <c r="DF49" s="5">
        <v>0.5</v>
      </c>
      <c r="DG49" s="5">
        <v>10</v>
      </c>
      <c r="DH49" s="5">
        <v>0.3</v>
      </c>
      <c r="DI49" s="5">
        <v>1</v>
      </c>
      <c r="DJ49" s="5">
        <v>1</v>
      </c>
      <c r="DK49" s="5" t="s">
        <v>169</v>
      </c>
      <c r="DL49" s="5" t="b">
        <v>0</v>
      </c>
      <c r="DM49" s="5">
        <v>32</v>
      </c>
      <c r="DN49" s="5">
        <v>1</v>
      </c>
      <c r="DO49" s="5" t="s">
        <v>170</v>
      </c>
      <c r="DP49" s="5" t="s">
        <v>612</v>
      </c>
      <c r="DQ49" s="5" t="s">
        <v>171</v>
      </c>
      <c r="DR49" s="5" t="s">
        <v>172</v>
      </c>
      <c r="DS49" s="7" t="str">
        <f>_xlfn.XLOOKUP(CP49,datasetmap!B:B,datasetmap!A:A)</f>
        <v>HW</v>
      </c>
      <c r="DT49" s="8">
        <f t="shared" si="0"/>
        <v>1.229540096</v>
      </c>
    </row>
    <row r="50" ht="17.6" spans="1:124">
      <c r="A50" s="5" t="s">
        <v>614</v>
      </c>
      <c r="B50" s="5">
        <v>32</v>
      </c>
      <c r="C50" s="5" t="s">
        <v>141</v>
      </c>
      <c r="D50" s="5" t="s">
        <v>615</v>
      </c>
      <c r="E50" s="5" t="s">
        <v>616</v>
      </c>
      <c r="F50" s="5" t="s">
        <v>617</v>
      </c>
      <c r="G50" s="6">
        <v>1.77912932996833e+18</v>
      </c>
      <c r="H50" s="5">
        <v>0.191855893497405</v>
      </c>
      <c r="I50" s="5">
        <v>0.210948630896926</v>
      </c>
      <c r="J50" s="5">
        <v>0.919568157</v>
      </c>
      <c r="K50" s="5">
        <v>0.191855893497405</v>
      </c>
      <c r="L50" s="6">
        <v>1.77912932996826e+18</v>
      </c>
      <c r="M50" s="5">
        <v>0.254752851711026</v>
      </c>
      <c r="N50" s="6">
        <v>1.77912933144232e+18</v>
      </c>
      <c r="O50" s="6">
        <v>1.77912927206921e+18</v>
      </c>
      <c r="P50" s="5">
        <v>56.019312393</v>
      </c>
      <c r="Q50" s="5">
        <v>0.25</v>
      </c>
      <c r="R50" s="5">
        <v>6</v>
      </c>
      <c r="S50" s="5" t="s">
        <v>145</v>
      </c>
      <c r="T50" s="5" t="s">
        <v>146</v>
      </c>
      <c r="U50" s="5" t="b">
        <v>0</v>
      </c>
      <c r="V50" s="5">
        <v>25</v>
      </c>
      <c r="W50" s="5">
        <v>0</v>
      </c>
      <c r="X50" s="5">
        <v>10</v>
      </c>
      <c r="Y50" s="5">
        <v>8</v>
      </c>
      <c r="Z50" s="5" t="b">
        <v>0</v>
      </c>
      <c r="AA50" s="5">
        <v>4</v>
      </c>
      <c r="AB50" s="5" t="b">
        <v>0</v>
      </c>
      <c r="AC50" s="5" t="b">
        <v>0</v>
      </c>
      <c r="AD50" s="5" t="s">
        <v>147</v>
      </c>
      <c r="AE50" s="5" t="s">
        <v>618</v>
      </c>
      <c r="AF50" s="5">
        <v>1</v>
      </c>
      <c r="AG50" s="5" t="b">
        <v>0</v>
      </c>
      <c r="AH50" s="5" t="b">
        <v>0</v>
      </c>
      <c r="AI50" s="5" t="s">
        <v>149</v>
      </c>
      <c r="AJ50" s="5">
        <v>3</v>
      </c>
      <c r="AK50" s="5" t="b">
        <v>0</v>
      </c>
      <c r="AL50" s="5">
        <v>4</v>
      </c>
      <c r="AM50" s="5">
        <v>0</v>
      </c>
      <c r="AN50" s="5">
        <v>0</v>
      </c>
      <c r="AO50" s="5" t="b">
        <v>0</v>
      </c>
      <c r="AP50" s="5">
        <v>0.001</v>
      </c>
      <c r="AQ50" s="5">
        <v>256</v>
      </c>
      <c r="AR50" s="5" t="b">
        <v>1</v>
      </c>
      <c r="AS50" s="5">
        <v>1</v>
      </c>
      <c r="AT50" s="5">
        <v>3</v>
      </c>
      <c r="AU50" s="5">
        <v>0.1</v>
      </c>
      <c r="AV50" s="5">
        <v>0.1</v>
      </c>
      <c r="AW50" s="5" t="b">
        <v>0</v>
      </c>
      <c r="AX50" s="5">
        <v>32</v>
      </c>
      <c r="AY50" s="5">
        <v>7</v>
      </c>
      <c r="AZ50" s="5">
        <v>1</v>
      </c>
      <c r="BA50" s="5">
        <v>16</v>
      </c>
      <c r="BB50" s="5" t="s">
        <v>264</v>
      </c>
      <c r="BC50" s="5" t="s">
        <v>151</v>
      </c>
      <c r="BD50" s="5">
        <v>10</v>
      </c>
      <c r="BE50" s="5" t="b">
        <v>0</v>
      </c>
      <c r="BF50" s="5" t="s">
        <v>152</v>
      </c>
      <c r="BG50" s="5" t="s">
        <v>619</v>
      </c>
      <c r="BH50" s="5">
        <v>0</v>
      </c>
      <c r="BI50" s="5" t="s">
        <v>154</v>
      </c>
      <c r="BJ50" s="5">
        <v>2</v>
      </c>
      <c r="BK50" s="5"/>
      <c r="BL50" s="5" t="b">
        <v>0</v>
      </c>
      <c r="BM50" s="5">
        <v>0</v>
      </c>
      <c r="BN50" s="5">
        <v>0</v>
      </c>
      <c r="BO50" s="5" t="s">
        <v>155</v>
      </c>
      <c r="BP50" s="5">
        <v>128</v>
      </c>
      <c r="BQ50" s="5" t="s">
        <v>156</v>
      </c>
      <c r="BR50" s="5">
        <v>2</v>
      </c>
      <c r="BS50" s="5" t="s">
        <v>157</v>
      </c>
      <c r="BT50" s="5">
        <v>0</v>
      </c>
      <c r="BU50" s="5">
        <v>96</v>
      </c>
      <c r="BV50" s="5" t="b">
        <v>0</v>
      </c>
      <c r="BW50" s="5">
        <v>1000</v>
      </c>
      <c r="BX50" s="5">
        <v>0.3</v>
      </c>
      <c r="BY50" s="5" t="b">
        <v>0</v>
      </c>
      <c r="BZ50" s="5" t="s">
        <v>620</v>
      </c>
      <c r="CA50" s="5" t="s">
        <v>14</v>
      </c>
      <c r="CB50" s="5" t="s">
        <v>621</v>
      </c>
      <c r="CC50" s="5" t="s">
        <v>160</v>
      </c>
      <c r="CD50" s="5">
        <v>1751</v>
      </c>
      <c r="CE50" s="5">
        <v>32</v>
      </c>
      <c r="CF50" s="5" t="b">
        <v>0</v>
      </c>
      <c r="CG50" s="5" t="s">
        <v>161</v>
      </c>
      <c r="CH50" s="5">
        <v>48</v>
      </c>
      <c r="CI50" s="5">
        <v>1</v>
      </c>
      <c r="CJ50" s="5">
        <v>0.25</v>
      </c>
      <c r="CK50" s="5">
        <v>7</v>
      </c>
      <c r="CL50" s="5" t="s">
        <v>622</v>
      </c>
      <c r="CM50" s="5">
        <v>7</v>
      </c>
      <c r="CN50" s="5" t="s">
        <v>163</v>
      </c>
      <c r="CO50" s="5">
        <v>0</v>
      </c>
      <c r="CP50" s="5" t="s">
        <v>269</v>
      </c>
      <c r="CQ50" s="5" t="s">
        <v>164</v>
      </c>
      <c r="CR50" s="5" t="s">
        <v>619</v>
      </c>
      <c r="CS50" s="5">
        <v>3</v>
      </c>
      <c r="CT50" s="5" t="b">
        <v>0</v>
      </c>
      <c r="CU50" s="5" t="s">
        <v>165</v>
      </c>
      <c r="CV50" s="5" t="b">
        <v>1</v>
      </c>
      <c r="CW50" s="5" t="b">
        <v>0</v>
      </c>
      <c r="CX50" s="5">
        <v>1</v>
      </c>
      <c r="CY50" s="5">
        <v>2</v>
      </c>
      <c r="CZ50" s="5" t="b">
        <v>0</v>
      </c>
      <c r="DA50" s="5" t="b">
        <v>0</v>
      </c>
      <c r="DB50" s="5" t="b">
        <v>0</v>
      </c>
      <c r="DC50" s="5" t="s">
        <v>166</v>
      </c>
      <c r="DD50" s="5" t="s">
        <v>167</v>
      </c>
      <c r="DE50" s="5" t="s">
        <v>168</v>
      </c>
      <c r="DF50" s="5">
        <v>0.5</v>
      </c>
      <c r="DG50" s="5">
        <v>10</v>
      </c>
      <c r="DH50" s="5">
        <v>0.3</v>
      </c>
      <c r="DI50" s="5">
        <v>1</v>
      </c>
      <c r="DJ50" s="5">
        <v>1</v>
      </c>
      <c r="DK50" s="5" t="s">
        <v>169</v>
      </c>
      <c r="DL50" s="5" t="b">
        <v>0</v>
      </c>
      <c r="DM50" s="5">
        <v>32</v>
      </c>
      <c r="DN50" s="5">
        <v>1</v>
      </c>
      <c r="DO50" s="5" t="s">
        <v>170</v>
      </c>
      <c r="DP50" s="5" t="s">
        <v>621</v>
      </c>
      <c r="DQ50" s="5" t="s">
        <v>171</v>
      </c>
      <c r="DR50" s="5" t="s">
        <v>172</v>
      </c>
      <c r="DS50" s="7" t="str">
        <f>_xlfn.XLOOKUP(CP50,datasetmap!B:B,datasetmap!A:A)</f>
        <v>EC</v>
      </c>
      <c r="DT50" s="8">
        <f t="shared" si="0"/>
        <v>1.473989888</v>
      </c>
    </row>
    <row r="51" ht="17.6" spans="1:124">
      <c r="A51" s="5" t="s">
        <v>623</v>
      </c>
      <c r="B51" s="5">
        <v>32</v>
      </c>
      <c r="C51" s="5" t="s">
        <v>141</v>
      </c>
      <c r="D51" s="5" t="s">
        <v>624</v>
      </c>
      <c r="E51" s="5" t="s">
        <v>625</v>
      </c>
      <c r="F51" s="5" t="s">
        <v>626</v>
      </c>
      <c r="G51" s="6">
        <v>1.7791292989987e+18</v>
      </c>
      <c r="H51" s="5">
        <v>0.856841000712416</v>
      </c>
      <c r="I51" s="5">
        <v>0.849881395347336</v>
      </c>
      <c r="J51" s="5">
        <v>0.460199486</v>
      </c>
      <c r="K51" s="5">
        <v>0.856841000712416</v>
      </c>
      <c r="L51" s="6">
        <v>1.77912929899856e+18</v>
      </c>
      <c r="M51" s="5">
        <v>0.85</v>
      </c>
      <c r="N51" s="6">
        <v>1.77912930130578e+18</v>
      </c>
      <c r="O51" s="6">
        <v>1.77912926190606e+18</v>
      </c>
      <c r="P51" s="5">
        <v>36.175505629</v>
      </c>
      <c r="Q51" s="5">
        <v>0.25</v>
      </c>
      <c r="R51" s="5">
        <v>6</v>
      </c>
      <c r="S51" s="5" t="s">
        <v>145</v>
      </c>
      <c r="T51" s="5" t="s">
        <v>146</v>
      </c>
      <c r="U51" s="5" t="b">
        <v>0</v>
      </c>
      <c r="V51" s="5">
        <v>25</v>
      </c>
      <c r="W51" s="5">
        <v>0</v>
      </c>
      <c r="X51" s="5">
        <v>10</v>
      </c>
      <c r="Y51" s="5">
        <v>8</v>
      </c>
      <c r="Z51" s="5" t="b">
        <v>0</v>
      </c>
      <c r="AA51" s="5">
        <v>4</v>
      </c>
      <c r="AB51" s="5" t="b">
        <v>0</v>
      </c>
      <c r="AC51" s="5" t="b">
        <v>0</v>
      </c>
      <c r="AD51" s="5" t="s">
        <v>147</v>
      </c>
      <c r="AE51" s="5" t="s">
        <v>627</v>
      </c>
      <c r="AF51" s="5">
        <v>1</v>
      </c>
      <c r="AG51" s="5" t="b">
        <v>0</v>
      </c>
      <c r="AH51" s="5" t="b">
        <v>0</v>
      </c>
      <c r="AI51" s="5" t="s">
        <v>149</v>
      </c>
      <c r="AJ51" s="5">
        <v>3</v>
      </c>
      <c r="AK51" s="5" t="b">
        <v>0</v>
      </c>
      <c r="AL51" s="5">
        <v>8</v>
      </c>
      <c r="AM51" s="5">
        <v>0</v>
      </c>
      <c r="AN51" s="5">
        <v>0</v>
      </c>
      <c r="AO51" s="5" t="b">
        <v>0</v>
      </c>
      <c r="AP51" s="5">
        <v>0.001</v>
      </c>
      <c r="AQ51" s="5">
        <v>256</v>
      </c>
      <c r="AR51" s="5" t="b">
        <v>1</v>
      </c>
      <c r="AS51" s="5">
        <v>1</v>
      </c>
      <c r="AT51" s="5">
        <v>3</v>
      </c>
      <c r="AU51" s="5">
        <v>0.1</v>
      </c>
      <c r="AV51" s="5">
        <v>0.1</v>
      </c>
      <c r="AW51" s="5" t="b">
        <v>0</v>
      </c>
      <c r="AX51" s="5">
        <v>32</v>
      </c>
      <c r="AY51" s="5">
        <v>7</v>
      </c>
      <c r="AZ51" s="5">
        <v>1</v>
      </c>
      <c r="BA51" s="5">
        <v>16</v>
      </c>
      <c r="BB51" s="5" t="s">
        <v>275</v>
      </c>
      <c r="BC51" s="5" t="s">
        <v>151</v>
      </c>
      <c r="BD51" s="5">
        <v>10</v>
      </c>
      <c r="BE51" s="5" t="b">
        <v>0</v>
      </c>
      <c r="BF51" s="5" t="s">
        <v>152</v>
      </c>
      <c r="BG51" s="5" t="s">
        <v>628</v>
      </c>
      <c r="BH51" s="5">
        <v>0</v>
      </c>
      <c r="BI51" s="5" t="s">
        <v>154</v>
      </c>
      <c r="BJ51" s="5">
        <v>2</v>
      </c>
      <c r="BK51" s="5"/>
      <c r="BL51" s="5" t="b">
        <v>0</v>
      </c>
      <c r="BM51" s="5">
        <v>0</v>
      </c>
      <c r="BN51" s="5">
        <v>0</v>
      </c>
      <c r="BO51" s="5" t="s">
        <v>155</v>
      </c>
      <c r="BP51" s="5">
        <v>128</v>
      </c>
      <c r="BQ51" s="5" t="s">
        <v>156</v>
      </c>
      <c r="BR51" s="5">
        <v>2</v>
      </c>
      <c r="BS51" s="5" t="s">
        <v>157</v>
      </c>
      <c r="BT51" s="5">
        <v>0</v>
      </c>
      <c r="BU51" s="5">
        <v>96</v>
      </c>
      <c r="BV51" s="5" t="b">
        <v>0</v>
      </c>
      <c r="BW51" s="5">
        <v>1000</v>
      </c>
      <c r="BX51" s="5">
        <v>0.3</v>
      </c>
      <c r="BY51" s="5" t="b">
        <v>0</v>
      </c>
      <c r="BZ51" s="5" t="s">
        <v>629</v>
      </c>
      <c r="CA51" s="5" t="s">
        <v>14</v>
      </c>
      <c r="CB51" s="5" t="s">
        <v>630</v>
      </c>
      <c r="CC51" s="5" t="s">
        <v>160</v>
      </c>
      <c r="CD51" s="5">
        <v>315</v>
      </c>
      <c r="CE51" s="5">
        <v>32</v>
      </c>
      <c r="CF51" s="5" t="b">
        <v>0</v>
      </c>
      <c r="CG51" s="5" t="s">
        <v>161</v>
      </c>
      <c r="CH51" s="5">
        <v>48</v>
      </c>
      <c r="CI51" s="5">
        <v>1</v>
      </c>
      <c r="CJ51" s="5">
        <v>0.25</v>
      </c>
      <c r="CK51" s="5">
        <v>7</v>
      </c>
      <c r="CL51" s="5" t="s">
        <v>631</v>
      </c>
      <c r="CM51" s="5">
        <v>7</v>
      </c>
      <c r="CN51" s="5" t="s">
        <v>163</v>
      </c>
      <c r="CO51" s="5">
        <v>0</v>
      </c>
      <c r="CP51" s="5" t="s">
        <v>280</v>
      </c>
      <c r="CQ51" s="5" t="s">
        <v>164</v>
      </c>
      <c r="CR51" s="5" t="s">
        <v>628</v>
      </c>
      <c r="CS51" s="5">
        <v>3</v>
      </c>
      <c r="CT51" s="5" t="b">
        <v>0</v>
      </c>
      <c r="CU51" s="5" t="s">
        <v>165</v>
      </c>
      <c r="CV51" s="5" t="b">
        <v>1</v>
      </c>
      <c r="CW51" s="5" t="b">
        <v>0</v>
      </c>
      <c r="CX51" s="5">
        <v>1</v>
      </c>
      <c r="CY51" s="5">
        <v>2</v>
      </c>
      <c r="CZ51" s="5" t="b">
        <v>0</v>
      </c>
      <c r="DA51" s="5" t="b">
        <v>0</v>
      </c>
      <c r="DB51" s="5" t="b">
        <v>0</v>
      </c>
      <c r="DC51" s="5" t="s">
        <v>166</v>
      </c>
      <c r="DD51" s="5" t="s">
        <v>167</v>
      </c>
      <c r="DE51" s="5" t="s">
        <v>168</v>
      </c>
      <c r="DF51" s="5">
        <v>0.5</v>
      </c>
      <c r="DG51" s="5">
        <v>10</v>
      </c>
      <c r="DH51" s="5">
        <v>0.3</v>
      </c>
      <c r="DI51" s="5">
        <v>1</v>
      </c>
      <c r="DJ51" s="5">
        <v>1</v>
      </c>
      <c r="DK51" s="5" t="s">
        <v>169</v>
      </c>
      <c r="DL51" s="5" t="b">
        <v>0</v>
      </c>
      <c r="DM51" s="5">
        <v>32</v>
      </c>
      <c r="DN51" s="5">
        <v>1</v>
      </c>
      <c r="DO51" s="5" t="s">
        <v>170</v>
      </c>
      <c r="DP51" s="5" t="s">
        <v>630</v>
      </c>
      <c r="DQ51" s="5" t="s">
        <v>171</v>
      </c>
      <c r="DR51" s="5" t="s">
        <v>172</v>
      </c>
      <c r="DS51" s="7" t="str">
        <f>_xlfn.XLOOKUP(CP51,datasetmap!B:B,datasetmap!A:A)</f>
        <v>UWG</v>
      </c>
      <c r="DT51" s="8">
        <f t="shared" si="0"/>
        <v>2.307079936</v>
      </c>
    </row>
    <row r="52" ht="17.6" spans="1:124">
      <c r="A52" s="5" t="s">
        <v>632</v>
      </c>
      <c r="B52" s="5">
        <v>32</v>
      </c>
      <c r="C52" s="5" t="s">
        <v>141</v>
      </c>
      <c r="D52" s="5" t="s">
        <v>633</v>
      </c>
      <c r="E52" s="5" t="s">
        <v>634</v>
      </c>
      <c r="F52" s="5" t="s">
        <v>635</v>
      </c>
      <c r="G52" s="6">
        <v>1.77899723872941e+18</v>
      </c>
      <c r="H52" s="5">
        <v>0.866865504437758</v>
      </c>
      <c r="I52" s="5">
        <v>0.827541600559737</v>
      </c>
      <c r="J52" s="5">
        <v>0.694067423</v>
      </c>
      <c r="K52" s="5">
        <v>0.866865504437758</v>
      </c>
      <c r="L52" s="6">
        <v>1.77899723872934e+18</v>
      </c>
      <c r="M52" s="5">
        <v>0.826589595375722</v>
      </c>
      <c r="N52" s="6">
        <v>1.77899726663179e+18</v>
      </c>
      <c r="O52" s="6">
        <v>1.77899663268949e+18</v>
      </c>
      <c r="P52" s="5">
        <v>64.911489858</v>
      </c>
      <c r="Q52" s="5">
        <v>0.25</v>
      </c>
      <c r="R52" s="5">
        <v>6</v>
      </c>
      <c r="S52" s="5" t="s">
        <v>145</v>
      </c>
      <c r="T52" s="5" t="s">
        <v>146</v>
      </c>
      <c r="U52" s="5" t="b">
        <v>0</v>
      </c>
      <c r="V52" s="5">
        <v>25</v>
      </c>
      <c r="W52" s="5">
        <v>0</v>
      </c>
      <c r="X52" s="5">
        <v>10</v>
      </c>
      <c r="Y52" s="5">
        <v>8</v>
      </c>
      <c r="Z52" s="5" t="b">
        <v>0</v>
      </c>
      <c r="AA52" s="5">
        <v>4</v>
      </c>
      <c r="AB52" s="5" t="b">
        <v>0</v>
      </c>
      <c r="AC52" s="5" t="b">
        <v>0</v>
      </c>
      <c r="AD52" s="5" t="s">
        <v>147</v>
      </c>
      <c r="AE52" s="5" t="s">
        <v>636</v>
      </c>
      <c r="AF52" s="5">
        <v>1</v>
      </c>
      <c r="AG52" s="5" t="b">
        <v>0</v>
      </c>
      <c r="AH52" s="5" t="b">
        <v>0</v>
      </c>
      <c r="AI52" s="5" t="s">
        <v>149</v>
      </c>
      <c r="AJ52" s="5">
        <v>3</v>
      </c>
      <c r="AK52" s="5" t="b">
        <v>0</v>
      </c>
      <c r="AL52" s="5">
        <v>7</v>
      </c>
      <c r="AM52" s="5">
        <v>0</v>
      </c>
      <c r="AN52" s="5">
        <v>0</v>
      </c>
      <c r="AO52" s="5" t="b">
        <v>0</v>
      </c>
      <c r="AP52" s="5">
        <v>0.001</v>
      </c>
      <c r="AQ52" s="5">
        <v>256</v>
      </c>
      <c r="AR52" s="5" t="b">
        <v>1</v>
      </c>
      <c r="AS52" s="5">
        <v>1</v>
      </c>
      <c r="AT52" s="5">
        <v>3</v>
      </c>
      <c r="AU52" s="5">
        <v>0.1</v>
      </c>
      <c r="AV52" s="5">
        <v>0.1</v>
      </c>
      <c r="AW52" s="5" t="b">
        <v>0</v>
      </c>
      <c r="AX52" s="5">
        <v>32</v>
      </c>
      <c r="AY52" s="5">
        <v>2026</v>
      </c>
      <c r="AZ52" s="5">
        <v>1</v>
      </c>
      <c r="BA52" s="5">
        <v>16</v>
      </c>
      <c r="BB52" s="5" t="s">
        <v>150</v>
      </c>
      <c r="BC52" s="5" t="s">
        <v>151</v>
      </c>
      <c r="BD52" s="5">
        <v>10</v>
      </c>
      <c r="BE52" s="5" t="b">
        <v>0</v>
      </c>
      <c r="BF52" s="5" t="s">
        <v>152</v>
      </c>
      <c r="BG52" s="5" t="s">
        <v>637</v>
      </c>
      <c r="BH52" s="5">
        <v>0</v>
      </c>
      <c r="BI52" s="5" t="s">
        <v>154</v>
      </c>
      <c r="BJ52" s="5">
        <v>2</v>
      </c>
      <c r="BK52" s="5"/>
      <c r="BL52" s="5" t="b">
        <v>0</v>
      </c>
      <c r="BM52" s="5">
        <v>0</v>
      </c>
      <c r="BN52" s="5">
        <v>0</v>
      </c>
      <c r="BO52" s="5" t="s">
        <v>155</v>
      </c>
      <c r="BP52" s="5">
        <v>128</v>
      </c>
      <c r="BQ52" s="5" t="s">
        <v>156</v>
      </c>
      <c r="BR52" s="5">
        <v>2</v>
      </c>
      <c r="BS52" s="5" t="s">
        <v>157</v>
      </c>
      <c r="BT52" s="5">
        <v>0</v>
      </c>
      <c r="BU52" s="5">
        <v>96</v>
      </c>
      <c r="BV52" s="5" t="b">
        <v>0</v>
      </c>
      <c r="BW52" s="5">
        <v>1000</v>
      </c>
      <c r="BX52" s="5">
        <v>0.3</v>
      </c>
      <c r="BY52" s="5" t="b">
        <v>0</v>
      </c>
      <c r="BZ52" s="5" t="s">
        <v>638</v>
      </c>
      <c r="CA52" s="5" t="s">
        <v>15</v>
      </c>
      <c r="CB52" s="5" t="s">
        <v>639</v>
      </c>
      <c r="CC52" s="5" t="s">
        <v>160</v>
      </c>
      <c r="CD52" s="5">
        <v>144</v>
      </c>
      <c r="CE52" s="5">
        <v>32</v>
      </c>
      <c r="CF52" s="5" t="b">
        <v>0</v>
      </c>
      <c r="CG52" s="5" t="s">
        <v>161</v>
      </c>
      <c r="CH52" s="5">
        <v>48</v>
      </c>
      <c r="CI52" s="5">
        <v>1</v>
      </c>
      <c r="CJ52" s="5">
        <v>0.25</v>
      </c>
      <c r="CK52" s="5">
        <v>7</v>
      </c>
      <c r="CL52" s="5" t="s">
        <v>640</v>
      </c>
      <c r="CM52" s="5">
        <v>7</v>
      </c>
      <c r="CN52" s="5" t="s">
        <v>163</v>
      </c>
      <c r="CO52" s="5">
        <v>0</v>
      </c>
      <c r="CP52" s="5" t="s">
        <v>8</v>
      </c>
      <c r="CQ52" s="5" t="s">
        <v>164</v>
      </c>
      <c r="CR52" s="5" t="s">
        <v>637</v>
      </c>
      <c r="CS52" s="5">
        <v>963</v>
      </c>
      <c r="CT52" s="5" t="b">
        <v>0</v>
      </c>
      <c r="CU52" s="5" t="s">
        <v>165</v>
      </c>
      <c r="CV52" s="5" t="b">
        <v>1</v>
      </c>
      <c r="CW52" s="5" t="b">
        <v>0</v>
      </c>
      <c r="CX52" s="5">
        <v>1</v>
      </c>
      <c r="CY52" s="5">
        <v>2</v>
      </c>
      <c r="CZ52" s="5" t="b">
        <v>0</v>
      </c>
      <c r="DA52" s="5" t="b">
        <v>0</v>
      </c>
      <c r="DB52" s="5" t="b">
        <v>0</v>
      </c>
      <c r="DC52" s="5" t="s">
        <v>166</v>
      </c>
      <c r="DD52" s="5" t="s">
        <v>167</v>
      </c>
      <c r="DE52" s="5" t="s">
        <v>168</v>
      </c>
      <c r="DF52" s="5">
        <v>0.5</v>
      </c>
      <c r="DG52" s="5">
        <v>10</v>
      </c>
      <c r="DH52" s="5">
        <v>0.3</v>
      </c>
      <c r="DI52" s="5">
        <v>1</v>
      </c>
      <c r="DJ52" s="5">
        <v>1</v>
      </c>
      <c r="DK52" s="5" t="s">
        <v>169</v>
      </c>
      <c r="DL52" s="5" t="b">
        <v>0</v>
      </c>
      <c r="DM52" s="5">
        <v>32</v>
      </c>
      <c r="DN52" s="5">
        <v>1</v>
      </c>
      <c r="DO52" s="5" t="s">
        <v>170</v>
      </c>
      <c r="DP52" s="5" t="s">
        <v>639</v>
      </c>
      <c r="DQ52" s="5" t="s">
        <v>171</v>
      </c>
      <c r="DR52" s="5" t="s">
        <v>172</v>
      </c>
      <c r="DS52" s="7" t="str">
        <f>_xlfn.XLOOKUP(CP52,datasetmap!B:B,datasetmap!A:A)</f>
        <v>PEMS-SF</v>
      </c>
      <c r="DT52" s="8">
        <f t="shared" si="0"/>
        <v>27.902380032</v>
      </c>
    </row>
    <row r="53" ht="17.6" spans="1:124">
      <c r="A53" s="5" t="s">
        <v>641</v>
      </c>
      <c r="B53" s="5">
        <v>32</v>
      </c>
      <c r="C53" s="5" t="s">
        <v>141</v>
      </c>
      <c r="D53" s="5" t="s">
        <v>642</v>
      </c>
      <c r="E53" s="5" t="s">
        <v>643</v>
      </c>
      <c r="F53" s="5" t="s">
        <v>644</v>
      </c>
      <c r="G53" s="6">
        <v>1.77899712279349e+18</v>
      </c>
      <c r="H53" s="5">
        <v>0.990116072456354</v>
      </c>
      <c r="I53" s="5">
        <v>0.989979976308042</v>
      </c>
      <c r="J53" s="5">
        <v>12.258033502</v>
      </c>
      <c r="K53" s="5">
        <v>0.990116072456354</v>
      </c>
      <c r="L53" s="6">
        <v>1.77899712279343e+18</v>
      </c>
      <c r="M53" s="5">
        <v>0.989995452478399</v>
      </c>
      <c r="N53" s="6">
        <v>1.77899713984025e+18</v>
      </c>
      <c r="O53" s="6">
        <v>1.77899522857938e+18</v>
      </c>
      <c r="P53" s="5">
        <v>1870.922529648</v>
      </c>
      <c r="Q53" s="5">
        <v>0.25</v>
      </c>
      <c r="R53" s="5">
        <v>6</v>
      </c>
      <c r="S53" s="5" t="s">
        <v>145</v>
      </c>
      <c r="T53" s="5" t="s">
        <v>146</v>
      </c>
      <c r="U53" s="5" t="b">
        <v>0</v>
      </c>
      <c r="V53" s="5">
        <v>25</v>
      </c>
      <c r="W53" s="5">
        <v>0</v>
      </c>
      <c r="X53" s="5">
        <v>10</v>
      </c>
      <c r="Y53" s="5">
        <v>8</v>
      </c>
      <c r="Z53" s="5" t="b">
        <v>0</v>
      </c>
      <c r="AA53" s="5">
        <v>4</v>
      </c>
      <c r="AB53" s="5" t="b">
        <v>0</v>
      </c>
      <c r="AC53" s="5" t="b">
        <v>0</v>
      </c>
      <c r="AD53" s="5" t="s">
        <v>147</v>
      </c>
      <c r="AE53" s="5" t="s">
        <v>645</v>
      </c>
      <c r="AF53" s="5">
        <v>1</v>
      </c>
      <c r="AG53" s="5" t="b">
        <v>0</v>
      </c>
      <c r="AH53" s="5" t="b">
        <v>0</v>
      </c>
      <c r="AI53" s="5" t="s">
        <v>149</v>
      </c>
      <c r="AJ53" s="5">
        <v>3</v>
      </c>
      <c r="AK53" s="5" t="b">
        <v>0</v>
      </c>
      <c r="AL53" s="5">
        <v>10</v>
      </c>
      <c r="AM53" s="5">
        <v>0</v>
      </c>
      <c r="AN53" s="5">
        <v>0</v>
      </c>
      <c r="AO53" s="5" t="b">
        <v>0</v>
      </c>
      <c r="AP53" s="5">
        <v>0.001</v>
      </c>
      <c r="AQ53" s="5">
        <v>256</v>
      </c>
      <c r="AR53" s="5" t="b">
        <v>1</v>
      </c>
      <c r="AS53" s="5">
        <v>1</v>
      </c>
      <c r="AT53" s="5">
        <v>3</v>
      </c>
      <c r="AU53" s="5">
        <v>0.1</v>
      </c>
      <c r="AV53" s="5">
        <v>0.1</v>
      </c>
      <c r="AW53" s="5" t="b">
        <v>0</v>
      </c>
      <c r="AX53" s="5">
        <v>32</v>
      </c>
      <c r="AY53" s="5">
        <v>2026</v>
      </c>
      <c r="AZ53" s="5">
        <v>1</v>
      </c>
      <c r="BA53" s="5">
        <v>16</v>
      </c>
      <c r="BB53" s="5" t="s">
        <v>178</v>
      </c>
      <c r="BC53" s="5" t="s">
        <v>151</v>
      </c>
      <c r="BD53" s="5">
        <v>10</v>
      </c>
      <c r="BE53" s="5" t="b">
        <v>0</v>
      </c>
      <c r="BF53" s="5" t="s">
        <v>152</v>
      </c>
      <c r="BG53" s="5" t="s">
        <v>646</v>
      </c>
      <c r="BH53" s="5">
        <v>0</v>
      </c>
      <c r="BI53" s="5" t="s">
        <v>154</v>
      </c>
      <c r="BJ53" s="5">
        <v>2</v>
      </c>
      <c r="BK53" s="5"/>
      <c r="BL53" s="5" t="b">
        <v>0</v>
      </c>
      <c r="BM53" s="5">
        <v>0</v>
      </c>
      <c r="BN53" s="5">
        <v>0</v>
      </c>
      <c r="BO53" s="5" t="s">
        <v>155</v>
      </c>
      <c r="BP53" s="5">
        <v>128</v>
      </c>
      <c r="BQ53" s="5" t="s">
        <v>156</v>
      </c>
      <c r="BR53" s="5">
        <v>2</v>
      </c>
      <c r="BS53" s="5" t="s">
        <v>157</v>
      </c>
      <c r="BT53" s="5">
        <v>0</v>
      </c>
      <c r="BU53" s="5">
        <v>96</v>
      </c>
      <c r="BV53" s="5" t="b">
        <v>0</v>
      </c>
      <c r="BW53" s="5">
        <v>1000</v>
      </c>
      <c r="BX53" s="5">
        <v>0.3</v>
      </c>
      <c r="BY53" s="5" t="b">
        <v>0</v>
      </c>
      <c r="BZ53" s="5" t="s">
        <v>647</v>
      </c>
      <c r="CA53" s="5" t="s">
        <v>15</v>
      </c>
      <c r="CB53" s="5" t="s">
        <v>648</v>
      </c>
      <c r="CC53" s="5" t="s">
        <v>160</v>
      </c>
      <c r="CD53" s="5">
        <v>93</v>
      </c>
      <c r="CE53" s="5">
        <v>32</v>
      </c>
      <c r="CF53" s="5" t="b">
        <v>0</v>
      </c>
      <c r="CG53" s="5" t="s">
        <v>161</v>
      </c>
      <c r="CH53" s="5">
        <v>48</v>
      </c>
      <c r="CI53" s="5">
        <v>1</v>
      </c>
      <c r="CJ53" s="5">
        <v>0.25</v>
      </c>
      <c r="CK53" s="5">
        <v>7</v>
      </c>
      <c r="CL53" s="5" t="s">
        <v>649</v>
      </c>
      <c r="CM53" s="5">
        <v>7</v>
      </c>
      <c r="CN53" s="5" t="s">
        <v>163</v>
      </c>
      <c r="CO53" s="5">
        <v>0</v>
      </c>
      <c r="CP53" s="5" t="s">
        <v>183</v>
      </c>
      <c r="CQ53" s="5" t="s">
        <v>164</v>
      </c>
      <c r="CR53" s="5" t="s">
        <v>646</v>
      </c>
      <c r="CS53" s="5">
        <v>13</v>
      </c>
      <c r="CT53" s="5" t="b">
        <v>0</v>
      </c>
      <c r="CU53" s="5" t="s">
        <v>165</v>
      </c>
      <c r="CV53" s="5" t="b">
        <v>1</v>
      </c>
      <c r="CW53" s="5" t="b">
        <v>0</v>
      </c>
      <c r="CX53" s="5">
        <v>1</v>
      </c>
      <c r="CY53" s="5">
        <v>2</v>
      </c>
      <c r="CZ53" s="5" t="b">
        <v>0</v>
      </c>
      <c r="DA53" s="5" t="b">
        <v>0</v>
      </c>
      <c r="DB53" s="5" t="b">
        <v>0</v>
      </c>
      <c r="DC53" s="5" t="s">
        <v>166</v>
      </c>
      <c r="DD53" s="5" t="s">
        <v>167</v>
      </c>
      <c r="DE53" s="5" t="s">
        <v>168</v>
      </c>
      <c r="DF53" s="5">
        <v>0.5</v>
      </c>
      <c r="DG53" s="5">
        <v>10</v>
      </c>
      <c r="DH53" s="5">
        <v>0.3</v>
      </c>
      <c r="DI53" s="5">
        <v>1</v>
      </c>
      <c r="DJ53" s="5">
        <v>1</v>
      </c>
      <c r="DK53" s="5" t="s">
        <v>169</v>
      </c>
      <c r="DL53" s="5" t="b">
        <v>0</v>
      </c>
      <c r="DM53" s="5">
        <v>32</v>
      </c>
      <c r="DN53" s="5">
        <v>1</v>
      </c>
      <c r="DO53" s="5" t="s">
        <v>170</v>
      </c>
      <c r="DP53" s="5" t="s">
        <v>648</v>
      </c>
      <c r="DQ53" s="5" t="s">
        <v>171</v>
      </c>
      <c r="DR53" s="5" t="s">
        <v>172</v>
      </c>
      <c r="DS53" s="7" t="str">
        <f>_xlfn.XLOOKUP(CP53,datasetmap!B:B,datasetmap!A:A)</f>
        <v>SAD</v>
      </c>
      <c r="DT53" s="8">
        <f t="shared" si="0"/>
        <v>17.046760192</v>
      </c>
    </row>
    <row r="54" ht="17.6" spans="1:124">
      <c r="A54" s="5" t="s">
        <v>650</v>
      </c>
      <c r="B54" s="5">
        <v>32</v>
      </c>
      <c r="C54" s="5" t="s">
        <v>141</v>
      </c>
      <c r="D54" s="5" t="s">
        <v>651</v>
      </c>
      <c r="E54" s="5" t="s">
        <v>652</v>
      </c>
      <c r="F54" s="5" t="s">
        <v>653</v>
      </c>
      <c r="G54" s="6">
        <v>1.77899522928295e+18</v>
      </c>
      <c r="H54" s="5">
        <v>0.566137566137566</v>
      </c>
      <c r="I54" s="5">
        <v>0.537037037037037</v>
      </c>
      <c r="J54" s="5">
        <v>2.263054796</v>
      </c>
      <c r="K54" s="5">
        <v>0.566137566137566</v>
      </c>
      <c r="L54" s="6">
        <v>1.7789952292829e+18</v>
      </c>
      <c r="M54" s="5">
        <v>0.555555555555555</v>
      </c>
      <c r="N54" s="6">
        <v>1.77899523208453e+18</v>
      </c>
      <c r="O54" s="6">
        <v>1.7789948411767e+18</v>
      </c>
      <c r="P54" s="5">
        <v>378.842584615</v>
      </c>
      <c r="Q54" s="5">
        <v>0.25</v>
      </c>
      <c r="R54" s="5">
        <v>6</v>
      </c>
      <c r="S54" s="5" t="s">
        <v>145</v>
      </c>
      <c r="T54" s="5" t="s">
        <v>146</v>
      </c>
      <c r="U54" s="5" t="b">
        <v>0</v>
      </c>
      <c r="V54" s="5">
        <v>25</v>
      </c>
      <c r="W54" s="5">
        <v>0</v>
      </c>
      <c r="X54" s="5">
        <v>10</v>
      </c>
      <c r="Y54" s="5">
        <v>8</v>
      </c>
      <c r="Z54" s="5" t="b">
        <v>0</v>
      </c>
      <c r="AA54" s="5">
        <v>4</v>
      </c>
      <c r="AB54" s="5" t="b">
        <v>0</v>
      </c>
      <c r="AC54" s="5" t="b">
        <v>0</v>
      </c>
      <c r="AD54" s="5" t="s">
        <v>147</v>
      </c>
      <c r="AE54" s="5" t="s">
        <v>654</v>
      </c>
      <c r="AF54" s="5">
        <v>1</v>
      </c>
      <c r="AG54" s="5" t="b">
        <v>0</v>
      </c>
      <c r="AH54" s="5" t="b">
        <v>0</v>
      </c>
      <c r="AI54" s="5" t="s">
        <v>149</v>
      </c>
      <c r="AJ54" s="5">
        <v>3</v>
      </c>
      <c r="AK54" s="5" t="b">
        <v>0</v>
      </c>
      <c r="AL54" s="5">
        <v>2</v>
      </c>
      <c r="AM54" s="5">
        <v>0</v>
      </c>
      <c r="AN54" s="5">
        <v>0</v>
      </c>
      <c r="AO54" s="5" t="b">
        <v>0</v>
      </c>
      <c r="AP54" s="5">
        <v>0.001</v>
      </c>
      <c r="AQ54" s="5">
        <v>256</v>
      </c>
      <c r="AR54" s="5" t="b">
        <v>1</v>
      </c>
      <c r="AS54" s="5">
        <v>1</v>
      </c>
      <c r="AT54" s="5">
        <v>3</v>
      </c>
      <c r="AU54" s="5">
        <v>0.1</v>
      </c>
      <c r="AV54" s="5">
        <v>0.1</v>
      </c>
      <c r="AW54" s="5" t="b">
        <v>0</v>
      </c>
      <c r="AX54" s="5">
        <v>32</v>
      </c>
      <c r="AY54" s="5">
        <v>2026</v>
      </c>
      <c r="AZ54" s="5">
        <v>1</v>
      </c>
      <c r="BA54" s="5">
        <v>16</v>
      </c>
      <c r="BB54" s="5" t="s">
        <v>200</v>
      </c>
      <c r="BC54" s="5" t="s">
        <v>151</v>
      </c>
      <c r="BD54" s="5">
        <v>10</v>
      </c>
      <c r="BE54" s="5" t="b">
        <v>0</v>
      </c>
      <c r="BF54" s="5" t="s">
        <v>152</v>
      </c>
      <c r="BG54" s="5" t="s">
        <v>655</v>
      </c>
      <c r="BH54" s="5">
        <v>0</v>
      </c>
      <c r="BI54" s="5" t="s">
        <v>154</v>
      </c>
      <c r="BJ54" s="5">
        <v>2</v>
      </c>
      <c r="BK54" s="5"/>
      <c r="BL54" s="5" t="b">
        <v>0</v>
      </c>
      <c r="BM54" s="5">
        <v>0</v>
      </c>
      <c r="BN54" s="5">
        <v>0</v>
      </c>
      <c r="BO54" s="5" t="s">
        <v>155</v>
      </c>
      <c r="BP54" s="5">
        <v>128</v>
      </c>
      <c r="BQ54" s="5" t="s">
        <v>156</v>
      </c>
      <c r="BR54" s="5">
        <v>2</v>
      </c>
      <c r="BS54" s="5" t="s">
        <v>157</v>
      </c>
      <c r="BT54" s="5">
        <v>0</v>
      </c>
      <c r="BU54" s="5">
        <v>96</v>
      </c>
      <c r="BV54" s="5" t="b">
        <v>0</v>
      </c>
      <c r="BW54" s="5">
        <v>1000</v>
      </c>
      <c r="BX54" s="5">
        <v>0.3</v>
      </c>
      <c r="BY54" s="5" t="b">
        <v>0</v>
      </c>
      <c r="BZ54" s="5" t="s">
        <v>656</v>
      </c>
      <c r="CA54" s="5" t="s">
        <v>15</v>
      </c>
      <c r="CB54" s="5" t="s">
        <v>657</v>
      </c>
      <c r="CC54" s="5" t="s">
        <v>160</v>
      </c>
      <c r="CD54" s="5">
        <v>1152</v>
      </c>
      <c r="CE54" s="5">
        <v>32</v>
      </c>
      <c r="CF54" s="5" t="b">
        <v>0</v>
      </c>
      <c r="CG54" s="5" t="s">
        <v>161</v>
      </c>
      <c r="CH54" s="5">
        <v>48</v>
      </c>
      <c r="CI54" s="5">
        <v>1</v>
      </c>
      <c r="CJ54" s="5">
        <v>0.25</v>
      </c>
      <c r="CK54" s="5">
        <v>7</v>
      </c>
      <c r="CL54" s="5" t="s">
        <v>658</v>
      </c>
      <c r="CM54" s="5">
        <v>7</v>
      </c>
      <c r="CN54" s="5" t="s">
        <v>163</v>
      </c>
      <c r="CO54" s="5">
        <v>0</v>
      </c>
      <c r="CP54" s="5" t="s">
        <v>205</v>
      </c>
      <c r="CQ54" s="5" t="s">
        <v>164</v>
      </c>
      <c r="CR54" s="5" t="s">
        <v>655</v>
      </c>
      <c r="CS54" s="5">
        <v>7</v>
      </c>
      <c r="CT54" s="5" t="b">
        <v>0</v>
      </c>
      <c r="CU54" s="5" t="s">
        <v>165</v>
      </c>
      <c r="CV54" s="5" t="b">
        <v>1</v>
      </c>
      <c r="CW54" s="5" t="b">
        <v>0</v>
      </c>
      <c r="CX54" s="5">
        <v>1</v>
      </c>
      <c r="CY54" s="5">
        <v>2</v>
      </c>
      <c r="CZ54" s="5" t="b">
        <v>0</v>
      </c>
      <c r="DA54" s="5" t="b">
        <v>0</v>
      </c>
      <c r="DB54" s="5" t="b">
        <v>0</v>
      </c>
      <c r="DC54" s="5" t="s">
        <v>166</v>
      </c>
      <c r="DD54" s="5" t="s">
        <v>167</v>
      </c>
      <c r="DE54" s="5" t="s">
        <v>168</v>
      </c>
      <c r="DF54" s="5">
        <v>0.5</v>
      </c>
      <c r="DG54" s="5">
        <v>10</v>
      </c>
      <c r="DH54" s="5">
        <v>0.3</v>
      </c>
      <c r="DI54" s="5">
        <v>1</v>
      </c>
      <c r="DJ54" s="5">
        <v>1</v>
      </c>
      <c r="DK54" s="5" t="s">
        <v>169</v>
      </c>
      <c r="DL54" s="5" t="b">
        <v>0</v>
      </c>
      <c r="DM54" s="5">
        <v>32</v>
      </c>
      <c r="DN54" s="5">
        <v>1</v>
      </c>
      <c r="DO54" s="5" t="s">
        <v>170</v>
      </c>
      <c r="DP54" s="5" t="s">
        <v>657</v>
      </c>
      <c r="DQ54" s="5" t="s">
        <v>171</v>
      </c>
      <c r="DR54" s="5" t="s">
        <v>172</v>
      </c>
      <c r="DS54" s="7" t="str">
        <f>_xlfn.XLOOKUP(CP54,datasetmap!B:B,datasetmap!A:A)</f>
        <v>SRS2</v>
      </c>
      <c r="DT54" s="8">
        <f t="shared" si="0"/>
        <v>2.801580032</v>
      </c>
    </row>
    <row r="55" ht="17.6" spans="1:124">
      <c r="A55" s="5" t="s">
        <v>659</v>
      </c>
      <c r="B55" s="5">
        <v>32</v>
      </c>
      <c r="C55" s="5" t="s">
        <v>141</v>
      </c>
      <c r="D55" s="5" t="s">
        <v>660</v>
      </c>
      <c r="E55" s="5" t="s">
        <v>661</v>
      </c>
      <c r="F55" s="5" t="s">
        <v>662</v>
      </c>
      <c r="G55" s="6">
        <v>1.77899516867982e+18</v>
      </c>
      <c r="H55" s="5">
        <v>0.895083002787965</v>
      </c>
      <c r="I55" s="5">
        <v>0.894128885194174</v>
      </c>
      <c r="J55" s="5">
        <v>7.275526194</v>
      </c>
      <c r="K55" s="5">
        <v>0.895083002787965</v>
      </c>
      <c r="L55" s="6">
        <v>1.77899516867977e+18</v>
      </c>
      <c r="M55" s="5">
        <v>0.89419795221843</v>
      </c>
      <c r="N55" s="6">
        <v>1.7789951768429e+18</v>
      </c>
      <c r="O55" s="6">
        <v>1.77899454238036e+18</v>
      </c>
      <c r="P55" s="5">
        <v>604.310410099</v>
      </c>
      <c r="Q55" s="5">
        <v>0.25</v>
      </c>
      <c r="R55" s="5">
        <v>6</v>
      </c>
      <c r="S55" s="5" t="s">
        <v>145</v>
      </c>
      <c r="T55" s="5" t="s">
        <v>146</v>
      </c>
      <c r="U55" s="5" t="b">
        <v>0</v>
      </c>
      <c r="V55" s="5">
        <v>25</v>
      </c>
      <c r="W55" s="5">
        <v>0</v>
      </c>
      <c r="X55" s="5">
        <v>10</v>
      </c>
      <c r="Y55" s="5">
        <v>8</v>
      </c>
      <c r="Z55" s="5" t="b">
        <v>0</v>
      </c>
      <c r="AA55" s="5">
        <v>4</v>
      </c>
      <c r="AB55" s="5" t="b">
        <v>0</v>
      </c>
      <c r="AC55" s="5" t="b">
        <v>0</v>
      </c>
      <c r="AD55" s="5" t="s">
        <v>147</v>
      </c>
      <c r="AE55" s="5" t="s">
        <v>663</v>
      </c>
      <c r="AF55" s="5">
        <v>1</v>
      </c>
      <c r="AG55" s="5" t="b">
        <v>0</v>
      </c>
      <c r="AH55" s="5" t="b">
        <v>0</v>
      </c>
      <c r="AI55" s="5" t="s">
        <v>149</v>
      </c>
      <c r="AJ55" s="5">
        <v>3</v>
      </c>
      <c r="AK55" s="5" t="b">
        <v>0</v>
      </c>
      <c r="AL55" s="5">
        <v>2</v>
      </c>
      <c r="AM55" s="5">
        <v>0</v>
      </c>
      <c r="AN55" s="5">
        <v>0</v>
      </c>
      <c r="AO55" s="5" t="b">
        <v>0</v>
      </c>
      <c r="AP55" s="5">
        <v>0.001</v>
      </c>
      <c r="AQ55" s="5">
        <v>256</v>
      </c>
      <c r="AR55" s="5" t="b">
        <v>1</v>
      </c>
      <c r="AS55" s="5">
        <v>1</v>
      </c>
      <c r="AT55" s="5">
        <v>3</v>
      </c>
      <c r="AU55" s="5">
        <v>0.1</v>
      </c>
      <c r="AV55" s="5">
        <v>0.1</v>
      </c>
      <c r="AW55" s="5" t="b">
        <v>0</v>
      </c>
      <c r="AX55" s="5">
        <v>32</v>
      </c>
      <c r="AY55" s="5">
        <v>2026</v>
      </c>
      <c r="AZ55" s="5">
        <v>1</v>
      </c>
      <c r="BA55" s="5">
        <v>16</v>
      </c>
      <c r="BB55" s="5" t="s">
        <v>211</v>
      </c>
      <c r="BC55" s="5" t="s">
        <v>151</v>
      </c>
      <c r="BD55" s="5">
        <v>10</v>
      </c>
      <c r="BE55" s="5" t="b">
        <v>0</v>
      </c>
      <c r="BF55" s="5" t="s">
        <v>152</v>
      </c>
      <c r="BG55" s="5" t="s">
        <v>664</v>
      </c>
      <c r="BH55" s="5">
        <v>0</v>
      </c>
      <c r="BI55" s="5" t="s">
        <v>154</v>
      </c>
      <c r="BJ55" s="5">
        <v>2</v>
      </c>
      <c r="BK55" s="5"/>
      <c r="BL55" s="5" t="b">
        <v>0</v>
      </c>
      <c r="BM55" s="5">
        <v>0</v>
      </c>
      <c r="BN55" s="5">
        <v>0</v>
      </c>
      <c r="BO55" s="5" t="s">
        <v>155</v>
      </c>
      <c r="BP55" s="5">
        <v>128</v>
      </c>
      <c r="BQ55" s="5" t="s">
        <v>156</v>
      </c>
      <c r="BR55" s="5">
        <v>2</v>
      </c>
      <c r="BS55" s="5" t="s">
        <v>157</v>
      </c>
      <c r="BT55" s="5">
        <v>0</v>
      </c>
      <c r="BU55" s="5">
        <v>96</v>
      </c>
      <c r="BV55" s="5" t="b">
        <v>0</v>
      </c>
      <c r="BW55" s="5">
        <v>1000</v>
      </c>
      <c r="BX55" s="5">
        <v>0.3</v>
      </c>
      <c r="BY55" s="5" t="b">
        <v>0</v>
      </c>
      <c r="BZ55" s="5" t="s">
        <v>665</v>
      </c>
      <c r="CA55" s="5" t="s">
        <v>15</v>
      </c>
      <c r="CB55" s="5" t="s">
        <v>666</v>
      </c>
      <c r="CC55" s="5" t="s">
        <v>160</v>
      </c>
      <c r="CD55" s="5">
        <v>896</v>
      </c>
      <c r="CE55" s="5">
        <v>32</v>
      </c>
      <c r="CF55" s="5" t="b">
        <v>0</v>
      </c>
      <c r="CG55" s="5" t="s">
        <v>161</v>
      </c>
      <c r="CH55" s="5">
        <v>48</v>
      </c>
      <c r="CI55" s="5">
        <v>1</v>
      </c>
      <c r="CJ55" s="5">
        <v>0.25</v>
      </c>
      <c r="CK55" s="5">
        <v>7</v>
      </c>
      <c r="CL55" s="5" t="s">
        <v>667</v>
      </c>
      <c r="CM55" s="5">
        <v>7</v>
      </c>
      <c r="CN55" s="5" t="s">
        <v>163</v>
      </c>
      <c r="CO55" s="5">
        <v>0</v>
      </c>
      <c r="CP55" s="5" t="s">
        <v>216</v>
      </c>
      <c r="CQ55" s="5" t="s">
        <v>164</v>
      </c>
      <c r="CR55" s="5" t="s">
        <v>664</v>
      </c>
      <c r="CS55" s="5">
        <v>6</v>
      </c>
      <c r="CT55" s="5" t="b">
        <v>0</v>
      </c>
      <c r="CU55" s="5" t="s">
        <v>165</v>
      </c>
      <c r="CV55" s="5" t="b">
        <v>1</v>
      </c>
      <c r="CW55" s="5" t="b">
        <v>0</v>
      </c>
      <c r="CX55" s="5">
        <v>1</v>
      </c>
      <c r="CY55" s="5">
        <v>2</v>
      </c>
      <c r="CZ55" s="5" t="b">
        <v>0</v>
      </c>
      <c r="DA55" s="5" t="b">
        <v>0</v>
      </c>
      <c r="DB55" s="5" t="b">
        <v>0</v>
      </c>
      <c r="DC55" s="5" t="s">
        <v>166</v>
      </c>
      <c r="DD55" s="5" t="s">
        <v>167</v>
      </c>
      <c r="DE55" s="5" t="s">
        <v>168</v>
      </c>
      <c r="DF55" s="5">
        <v>0.5</v>
      </c>
      <c r="DG55" s="5">
        <v>10</v>
      </c>
      <c r="DH55" s="5">
        <v>0.3</v>
      </c>
      <c r="DI55" s="5">
        <v>1</v>
      </c>
      <c r="DJ55" s="5">
        <v>1</v>
      </c>
      <c r="DK55" s="5" t="s">
        <v>169</v>
      </c>
      <c r="DL55" s="5" t="b">
        <v>0</v>
      </c>
      <c r="DM55" s="5">
        <v>32</v>
      </c>
      <c r="DN55" s="5">
        <v>1</v>
      </c>
      <c r="DO55" s="5" t="s">
        <v>170</v>
      </c>
      <c r="DP55" s="5" t="s">
        <v>666</v>
      </c>
      <c r="DQ55" s="5" t="s">
        <v>171</v>
      </c>
      <c r="DR55" s="5" t="s">
        <v>172</v>
      </c>
      <c r="DS55" s="7" t="str">
        <f>_xlfn.XLOOKUP(CP55,datasetmap!B:B,datasetmap!A:A)</f>
        <v>SRS1</v>
      </c>
      <c r="DT55" s="8">
        <f t="shared" si="0"/>
        <v>8.163079936</v>
      </c>
    </row>
    <row r="56" ht="17.6" spans="1:124">
      <c r="A56" s="5" t="s">
        <v>668</v>
      </c>
      <c r="B56" s="5">
        <v>32</v>
      </c>
      <c r="C56" s="5" t="s">
        <v>141</v>
      </c>
      <c r="D56" s="5" t="s">
        <v>669</v>
      </c>
      <c r="E56" s="5" t="s">
        <v>670</v>
      </c>
      <c r="F56" s="5" t="s">
        <v>671</v>
      </c>
      <c r="G56" s="6">
        <v>1.77899456322047e+18</v>
      </c>
      <c r="H56" s="5">
        <v>0.658235423799149</v>
      </c>
      <c r="I56" s="5">
        <v>0.656650222625284</v>
      </c>
      <c r="J56" s="5">
        <v>35.416593677</v>
      </c>
      <c r="K56" s="5">
        <v>0.658235423799149</v>
      </c>
      <c r="L56" s="6">
        <v>1.77899456322042e+18</v>
      </c>
      <c r="M56" s="5">
        <v>0.657207718501702</v>
      </c>
      <c r="N56" s="6">
        <v>1.77899479870299e+18</v>
      </c>
      <c r="O56" s="6">
        <v>1.77899276801711e+18</v>
      </c>
      <c r="P56" s="5">
        <v>1476.936976121</v>
      </c>
      <c r="Q56" s="5">
        <v>0.25</v>
      </c>
      <c r="R56" s="5">
        <v>6</v>
      </c>
      <c r="S56" s="5" t="s">
        <v>145</v>
      </c>
      <c r="T56" s="5" t="s">
        <v>146</v>
      </c>
      <c r="U56" s="5" t="b">
        <v>0</v>
      </c>
      <c r="V56" s="5">
        <v>25</v>
      </c>
      <c r="W56" s="5">
        <v>0</v>
      </c>
      <c r="X56" s="5">
        <v>10</v>
      </c>
      <c r="Y56" s="5">
        <v>8</v>
      </c>
      <c r="Z56" s="5" t="b">
        <v>0</v>
      </c>
      <c r="AA56" s="5">
        <v>4</v>
      </c>
      <c r="AB56" s="5" t="b">
        <v>0</v>
      </c>
      <c r="AC56" s="5" t="b">
        <v>0</v>
      </c>
      <c r="AD56" s="5" t="s">
        <v>147</v>
      </c>
      <c r="AE56" s="5" t="s">
        <v>672</v>
      </c>
      <c r="AF56" s="5">
        <v>1</v>
      </c>
      <c r="AG56" s="5" t="b">
        <v>0</v>
      </c>
      <c r="AH56" s="5" t="b">
        <v>0</v>
      </c>
      <c r="AI56" s="5" t="s">
        <v>149</v>
      </c>
      <c r="AJ56" s="5">
        <v>3</v>
      </c>
      <c r="AK56" s="5" t="b">
        <v>0</v>
      </c>
      <c r="AL56" s="5">
        <v>2</v>
      </c>
      <c r="AM56" s="5">
        <v>0</v>
      </c>
      <c r="AN56" s="5">
        <v>0</v>
      </c>
      <c r="AO56" s="5" t="b">
        <v>0</v>
      </c>
      <c r="AP56" s="5">
        <v>0.001</v>
      </c>
      <c r="AQ56" s="5">
        <v>256</v>
      </c>
      <c r="AR56" s="5" t="b">
        <v>1</v>
      </c>
      <c r="AS56" s="5">
        <v>1</v>
      </c>
      <c r="AT56" s="5">
        <v>3</v>
      </c>
      <c r="AU56" s="5">
        <v>0.1</v>
      </c>
      <c r="AV56" s="5">
        <v>0.1</v>
      </c>
      <c r="AW56" s="5" t="b">
        <v>0</v>
      </c>
      <c r="AX56" s="5">
        <v>32</v>
      </c>
      <c r="AY56" s="5">
        <v>2026</v>
      </c>
      <c r="AZ56" s="5">
        <v>1</v>
      </c>
      <c r="BA56" s="5">
        <v>16</v>
      </c>
      <c r="BB56" s="5" t="s">
        <v>189</v>
      </c>
      <c r="BC56" s="5" t="s">
        <v>151</v>
      </c>
      <c r="BD56" s="5">
        <v>10</v>
      </c>
      <c r="BE56" s="5" t="b">
        <v>0</v>
      </c>
      <c r="BF56" s="5" t="s">
        <v>152</v>
      </c>
      <c r="BG56" s="5" t="s">
        <v>673</v>
      </c>
      <c r="BH56" s="5">
        <v>0</v>
      </c>
      <c r="BI56" s="5" t="s">
        <v>154</v>
      </c>
      <c r="BJ56" s="5">
        <v>2</v>
      </c>
      <c r="BK56" s="5"/>
      <c r="BL56" s="5" t="b">
        <v>0</v>
      </c>
      <c r="BM56" s="5">
        <v>0</v>
      </c>
      <c r="BN56" s="5">
        <v>0</v>
      </c>
      <c r="BO56" s="5" t="s">
        <v>155</v>
      </c>
      <c r="BP56" s="5">
        <v>128</v>
      </c>
      <c r="BQ56" s="5" t="s">
        <v>156</v>
      </c>
      <c r="BR56" s="5">
        <v>2</v>
      </c>
      <c r="BS56" s="5" t="s">
        <v>157</v>
      </c>
      <c r="BT56" s="5">
        <v>0</v>
      </c>
      <c r="BU56" s="5">
        <v>96</v>
      </c>
      <c r="BV56" s="5" t="b">
        <v>0</v>
      </c>
      <c r="BW56" s="5">
        <v>1000</v>
      </c>
      <c r="BX56" s="5">
        <v>0.3</v>
      </c>
      <c r="BY56" s="5" t="b">
        <v>0</v>
      </c>
      <c r="BZ56" s="5" t="s">
        <v>674</v>
      </c>
      <c r="CA56" s="5" t="s">
        <v>15</v>
      </c>
      <c r="CB56" s="5" t="s">
        <v>675</v>
      </c>
      <c r="CC56" s="5" t="s">
        <v>160</v>
      </c>
      <c r="CD56" s="5">
        <v>62</v>
      </c>
      <c r="CE56" s="5">
        <v>32</v>
      </c>
      <c r="CF56" s="5" t="b">
        <v>0</v>
      </c>
      <c r="CG56" s="5" t="s">
        <v>161</v>
      </c>
      <c r="CH56" s="5">
        <v>48</v>
      </c>
      <c r="CI56" s="5">
        <v>1</v>
      </c>
      <c r="CJ56" s="5">
        <v>0.25</v>
      </c>
      <c r="CK56" s="5">
        <v>7</v>
      </c>
      <c r="CL56" s="5" t="s">
        <v>676</v>
      </c>
      <c r="CM56" s="5">
        <v>7</v>
      </c>
      <c r="CN56" s="5" t="s">
        <v>163</v>
      </c>
      <c r="CO56" s="5">
        <v>0</v>
      </c>
      <c r="CP56" s="5" t="s">
        <v>194</v>
      </c>
      <c r="CQ56" s="5" t="s">
        <v>164</v>
      </c>
      <c r="CR56" s="5" t="s">
        <v>673</v>
      </c>
      <c r="CS56" s="5">
        <v>144</v>
      </c>
      <c r="CT56" s="5" t="b">
        <v>0</v>
      </c>
      <c r="CU56" s="5" t="s">
        <v>165</v>
      </c>
      <c r="CV56" s="5" t="b">
        <v>1</v>
      </c>
      <c r="CW56" s="5" t="b">
        <v>0</v>
      </c>
      <c r="CX56" s="5">
        <v>1</v>
      </c>
      <c r="CY56" s="5">
        <v>2</v>
      </c>
      <c r="CZ56" s="5" t="b">
        <v>0</v>
      </c>
      <c r="DA56" s="5" t="b">
        <v>0</v>
      </c>
      <c r="DB56" s="5" t="b">
        <v>0</v>
      </c>
      <c r="DC56" s="5" t="s">
        <v>166</v>
      </c>
      <c r="DD56" s="5" t="s">
        <v>167</v>
      </c>
      <c r="DE56" s="5" t="s">
        <v>168</v>
      </c>
      <c r="DF56" s="5">
        <v>0.5</v>
      </c>
      <c r="DG56" s="5">
        <v>10</v>
      </c>
      <c r="DH56" s="5">
        <v>0.3</v>
      </c>
      <c r="DI56" s="5">
        <v>1</v>
      </c>
      <c r="DJ56" s="5">
        <v>1</v>
      </c>
      <c r="DK56" s="5" t="s">
        <v>169</v>
      </c>
      <c r="DL56" s="5" t="b">
        <v>0</v>
      </c>
      <c r="DM56" s="5">
        <v>32</v>
      </c>
      <c r="DN56" s="5">
        <v>1</v>
      </c>
      <c r="DO56" s="5" t="s">
        <v>170</v>
      </c>
      <c r="DP56" s="5" t="s">
        <v>675</v>
      </c>
      <c r="DQ56" s="5" t="s">
        <v>171</v>
      </c>
      <c r="DR56" s="5" t="s">
        <v>172</v>
      </c>
      <c r="DS56" s="7" t="str">
        <f>_xlfn.XLOOKUP(CP56,datasetmap!B:B,datasetmap!A:A)</f>
        <v>FD</v>
      </c>
      <c r="DT56" s="8">
        <f t="shared" si="0"/>
        <v>235.482520064</v>
      </c>
    </row>
    <row r="57" ht="17.6" spans="1:124">
      <c r="A57" s="5" t="s">
        <v>677</v>
      </c>
      <c r="B57" s="5">
        <v>32</v>
      </c>
      <c r="C57" s="5" t="s">
        <v>141</v>
      </c>
      <c r="D57" s="5" t="s">
        <v>678</v>
      </c>
      <c r="E57" s="5" t="s">
        <v>679</v>
      </c>
      <c r="F57" s="5" t="s">
        <v>680</v>
      </c>
      <c r="G57" s="6">
        <v>1.77899441940597e+18</v>
      </c>
      <c r="H57" s="5">
        <v>0.984080778592973</v>
      </c>
      <c r="I57" s="5">
        <v>0.9837509492867</v>
      </c>
      <c r="J57" s="5">
        <v>6.210423647</v>
      </c>
      <c r="K57" s="5">
        <v>0.984080778592973</v>
      </c>
      <c r="L57" s="6">
        <v>1.77899441940588e+18</v>
      </c>
      <c r="M57" s="5">
        <v>0.983783783783783</v>
      </c>
      <c r="N57" s="6">
        <v>1.77899443312088e+18</v>
      </c>
      <c r="O57" s="6">
        <v>1.77899391607983e+18</v>
      </c>
      <c r="P57" s="5">
        <v>477.484433127</v>
      </c>
      <c r="Q57" s="5">
        <v>0.25</v>
      </c>
      <c r="R57" s="5">
        <v>6</v>
      </c>
      <c r="S57" s="5" t="s">
        <v>145</v>
      </c>
      <c r="T57" s="5" t="s">
        <v>146</v>
      </c>
      <c r="U57" s="5" t="b">
        <v>0</v>
      </c>
      <c r="V57" s="5">
        <v>25</v>
      </c>
      <c r="W57" s="5">
        <v>0</v>
      </c>
      <c r="X57" s="5">
        <v>10</v>
      </c>
      <c r="Y57" s="5">
        <v>8</v>
      </c>
      <c r="Z57" s="5" t="b">
        <v>0</v>
      </c>
      <c r="AA57" s="5">
        <v>4</v>
      </c>
      <c r="AB57" s="5" t="b">
        <v>0</v>
      </c>
      <c r="AC57" s="5" t="b">
        <v>0</v>
      </c>
      <c r="AD57" s="5" t="s">
        <v>147</v>
      </c>
      <c r="AE57" s="5" t="s">
        <v>681</v>
      </c>
      <c r="AF57" s="5">
        <v>1</v>
      </c>
      <c r="AG57" s="5" t="b">
        <v>0</v>
      </c>
      <c r="AH57" s="5" t="b">
        <v>0</v>
      </c>
      <c r="AI57" s="5" t="s">
        <v>149</v>
      </c>
      <c r="AJ57" s="5">
        <v>3</v>
      </c>
      <c r="AK57" s="5" t="b">
        <v>0</v>
      </c>
      <c r="AL57" s="5">
        <v>9</v>
      </c>
      <c r="AM57" s="5">
        <v>0</v>
      </c>
      <c r="AN57" s="5">
        <v>0</v>
      </c>
      <c r="AO57" s="5" t="b">
        <v>0</v>
      </c>
      <c r="AP57" s="5">
        <v>0.001</v>
      </c>
      <c r="AQ57" s="5">
        <v>256</v>
      </c>
      <c r="AR57" s="5" t="b">
        <v>1</v>
      </c>
      <c r="AS57" s="5">
        <v>1</v>
      </c>
      <c r="AT57" s="5">
        <v>3</v>
      </c>
      <c r="AU57" s="5">
        <v>0.1</v>
      </c>
      <c r="AV57" s="5">
        <v>0.1</v>
      </c>
      <c r="AW57" s="5" t="b">
        <v>0</v>
      </c>
      <c r="AX57" s="5">
        <v>32</v>
      </c>
      <c r="AY57" s="5">
        <v>2026</v>
      </c>
      <c r="AZ57" s="5">
        <v>1</v>
      </c>
      <c r="BA57" s="5">
        <v>16</v>
      </c>
      <c r="BB57" s="5" t="s">
        <v>222</v>
      </c>
      <c r="BC57" s="5" t="s">
        <v>151</v>
      </c>
      <c r="BD57" s="5">
        <v>10</v>
      </c>
      <c r="BE57" s="5" t="b">
        <v>0</v>
      </c>
      <c r="BF57" s="5" t="s">
        <v>152</v>
      </c>
      <c r="BG57" s="5" t="s">
        <v>682</v>
      </c>
      <c r="BH57" s="5">
        <v>0</v>
      </c>
      <c r="BI57" s="5" t="s">
        <v>154</v>
      </c>
      <c r="BJ57" s="5">
        <v>2</v>
      </c>
      <c r="BK57" s="5"/>
      <c r="BL57" s="5" t="b">
        <v>0</v>
      </c>
      <c r="BM57" s="5">
        <v>0</v>
      </c>
      <c r="BN57" s="5">
        <v>0</v>
      </c>
      <c r="BO57" s="5" t="s">
        <v>155</v>
      </c>
      <c r="BP57" s="5">
        <v>128</v>
      </c>
      <c r="BQ57" s="5" t="s">
        <v>156</v>
      </c>
      <c r="BR57" s="5">
        <v>2</v>
      </c>
      <c r="BS57" s="5" t="s">
        <v>157</v>
      </c>
      <c r="BT57" s="5">
        <v>0</v>
      </c>
      <c r="BU57" s="5">
        <v>96</v>
      </c>
      <c r="BV57" s="5" t="b">
        <v>0</v>
      </c>
      <c r="BW57" s="5">
        <v>1000</v>
      </c>
      <c r="BX57" s="5">
        <v>0.3</v>
      </c>
      <c r="BY57" s="5" t="b">
        <v>0</v>
      </c>
      <c r="BZ57" s="5" t="s">
        <v>683</v>
      </c>
      <c r="CA57" s="5" t="s">
        <v>15</v>
      </c>
      <c r="CB57" s="5" t="s">
        <v>684</v>
      </c>
      <c r="CC57" s="5" t="s">
        <v>160</v>
      </c>
      <c r="CD57" s="5">
        <v>29</v>
      </c>
      <c r="CE57" s="5">
        <v>32</v>
      </c>
      <c r="CF57" s="5" t="b">
        <v>0</v>
      </c>
      <c r="CG57" s="5" t="s">
        <v>161</v>
      </c>
      <c r="CH57" s="5">
        <v>48</v>
      </c>
      <c r="CI57" s="5">
        <v>1</v>
      </c>
      <c r="CJ57" s="5">
        <v>0.25</v>
      </c>
      <c r="CK57" s="5">
        <v>7</v>
      </c>
      <c r="CL57" s="5" t="s">
        <v>685</v>
      </c>
      <c r="CM57" s="5">
        <v>7</v>
      </c>
      <c r="CN57" s="5" t="s">
        <v>163</v>
      </c>
      <c r="CO57" s="5">
        <v>0</v>
      </c>
      <c r="CP57" s="5" t="s">
        <v>227</v>
      </c>
      <c r="CQ57" s="5" t="s">
        <v>164</v>
      </c>
      <c r="CR57" s="5" t="s">
        <v>682</v>
      </c>
      <c r="CS57" s="5">
        <v>12</v>
      </c>
      <c r="CT57" s="5" t="b">
        <v>0</v>
      </c>
      <c r="CU57" s="5" t="s">
        <v>165</v>
      </c>
      <c r="CV57" s="5" t="b">
        <v>1</v>
      </c>
      <c r="CW57" s="5" t="b">
        <v>0</v>
      </c>
      <c r="CX57" s="5">
        <v>1</v>
      </c>
      <c r="CY57" s="5">
        <v>2</v>
      </c>
      <c r="CZ57" s="5" t="b">
        <v>0</v>
      </c>
      <c r="DA57" s="5" t="b">
        <v>0</v>
      </c>
      <c r="DB57" s="5" t="b">
        <v>0</v>
      </c>
      <c r="DC57" s="5" t="s">
        <v>166</v>
      </c>
      <c r="DD57" s="5" t="s">
        <v>167</v>
      </c>
      <c r="DE57" s="5" t="s">
        <v>168</v>
      </c>
      <c r="DF57" s="5">
        <v>0.5</v>
      </c>
      <c r="DG57" s="5">
        <v>10</v>
      </c>
      <c r="DH57" s="5">
        <v>0.3</v>
      </c>
      <c r="DI57" s="5">
        <v>1</v>
      </c>
      <c r="DJ57" s="5">
        <v>1</v>
      </c>
      <c r="DK57" s="5" t="s">
        <v>169</v>
      </c>
      <c r="DL57" s="5" t="b">
        <v>0</v>
      </c>
      <c r="DM57" s="5">
        <v>32</v>
      </c>
      <c r="DN57" s="5">
        <v>1</v>
      </c>
      <c r="DO57" s="5" t="s">
        <v>170</v>
      </c>
      <c r="DP57" s="5" t="s">
        <v>684</v>
      </c>
      <c r="DQ57" s="5" t="s">
        <v>171</v>
      </c>
      <c r="DR57" s="5" t="s">
        <v>172</v>
      </c>
      <c r="DS57" s="7" t="str">
        <f>_xlfn.XLOOKUP(CP57,datasetmap!B:B,datasetmap!A:A)</f>
        <v>JV</v>
      </c>
      <c r="DT57" s="8">
        <f t="shared" si="0"/>
        <v>13.714910208</v>
      </c>
    </row>
    <row r="58" ht="17.6" spans="1:124">
      <c r="A58" s="5" t="s">
        <v>686</v>
      </c>
      <c r="B58" s="5">
        <v>32</v>
      </c>
      <c r="C58" s="5" t="s">
        <v>141</v>
      </c>
      <c r="D58" s="5" t="s">
        <v>687</v>
      </c>
      <c r="E58" s="5" t="s">
        <v>688</v>
      </c>
      <c r="F58" s="5" t="s">
        <v>689</v>
      </c>
      <c r="G58" s="6">
        <v>1.77899380250588e+18</v>
      </c>
      <c r="H58" s="5">
        <v>0.769641134668005</v>
      </c>
      <c r="I58" s="5">
        <v>0.75283522789979</v>
      </c>
      <c r="J58" s="5">
        <v>6.140793983</v>
      </c>
      <c r="K58" s="5">
        <v>0.769641134668005</v>
      </c>
      <c r="L58" s="6">
        <v>1.77899380250582e+18</v>
      </c>
      <c r="M58" s="5">
        <v>0.780487804878048</v>
      </c>
      <c r="N58" s="6">
        <v>1.77899384030493e+18</v>
      </c>
      <c r="O58" s="6">
        <v>1.77899328780049e+18</v>
      </c>
      <c r="P58" s="5">
        <v>422.093013232</v>
      </c>
      <c r="Q58" s="5">
        <v>0.25</v>
      </c>
      <c r="R58" s="5">
        <v>6</v>
      </c>
      <c r="S58" s="5" t="s">
        <v>145</v>
      </c>
      <c r="T58" s="5" t="s">
        <v>146</v>
      </c>
      <c r="U58" s="5" t="b">
        <v>0</v>
      </c>
      <c r="V58" s="5">
        <v>25</v>
      </c>
      <c r="W58" s="5">
        <v>0</v>
      </c>
      <c r="X58" s="5">
        <v>10</v>
      </c>
      <c r="Y58" s="5">
        <v>8</v>
      </c>
      <c r="Z58" s="5" t="b">
        <v>0</v>
      </c>
      <c r="AA58" s="5">
        <v>4</v>
      </c>
      <c r="AB58" s="5" t="b">
        <v>0</v>
      </c>
      <c r="AC58" s="5" t="b">
        <v>0</v>
      </c>
      <c r="AD58" s="5" t="s">
        <v>147</v>
      </c>
      <c r="AE58" s="5" t="s">
        <v>690</v>
      </c>
      <c r="AF58" s="5">
        <v>1</v>
      </c>
      <c r="AG58" s="5" t="b">
        <v>0</v>
      </c>
      <c r="AH58" s="5" t="b">
        <v>0</v>
      </c>
      <c r="AI58" s="5" t="s">
        <v>149</v>
      </c>
      <c r="AJ58" s="5">
        <v>3</v>
      </c>
      <c r="AK58" s="5" t="b">
        <v>0</v>
      </c>
      <c r="AL58" s="5">
        <v>2</v>
      </c>
      <c r="AM58" s="5">
        <v>0</v>
      </c>
      <c r="AN58" s="5">
        <v>0</v>
      </c>
      <c r="AO58" s="5" t="b">
        <v>0</v>
      </c>
      <c r="AP58" s="5">
        <v>0.001</v>
      </c>
      <c r="AQ58" s="5">
        <v>256</v>
      </c>
      <c r="AR58" s="5" t="b">
        <v>1</v>
      </c>
      <c r="AS58" s="5">
        <v>1</v>
      </c>
      <c r="AT58" s="5">
        <v>3</v>
      </c>
      <c r="AU58" s="5">
        <v>0.1</v>
      </c>
      <c r="AV58" s="5">
        <v>0.1</v>
      </c>
      <c r="AW58" s="5" t="b">
        <v>0</v>
      </c>
      <c r="AX58" s="5">
        <v>32</v>
      </c>
      <c r="AY58" s="5">
        <v>2026</v>
      </c>
      <c r="AZ58" s="5">
        <v>1</v>
      </c>
      <c r="BA58" s="5">
        <v>16</v>
      </c>
      <c r="BB58" s="5" t="s">
        <v>233</v>
      </c>
      <c r="BC58" s="5" t="s">
        <v>151</v>
      </c>
      <c r="BD58" s="5">
        <v>10</v>
      </c>
      <c r="BE58" s="5" t="b">
        <v>0</v>
      </c>
      <c r="BF58" s="5" t="s">
        <v>152</v>
      </c>
      <c r="BG58" s="5" t="s">
        <v>691</v>
      </c>
      <c r="BH58" s="5">
        <v>0</v>
      </c>
      <c r="BI58" s="5" t="s">
        <v>154</v>
      </c>
      <c r="BJ58" s="5">
        <v>2</v>
      </c>
      <c r="BK58" s="5"/>
      <c r="BL58" s="5" t="b">
        <v>0</v>
      </c>
      <c r="BM58" s="5">
        <v>0</v>
      </c>
      <c r="BN58" s="5">
        <v>0</v>
      </c>
      <c r="BO58" s="5" t="s">
        <v>155</v>
      </c>
      <c r="BP58" s="5">
        <v>128</v>
      </c>
      <c r="BQ58" s="5" t="s">
        <v>156</v>
      </c>
      <c r="BR58" s="5">
        <v>2</v>
      </c>
      <c r="BS58" s="5" t="s">
        <v>157</v>
      </c>
      <c r="BT58" s="5">
        <v>0</v>
      </c>
      <c r="BU58" s="5">
        <v>96</v>
      </c>
      <c r="BV58" s="5" t="b">
        <v>0</v>
      </c>
      <c r="BW58" s="5">
        <v>1000</v>
      </c>
      <c r="BX58" s="5">
        <v>0.3</v>
      </c>
      <c r="BY58" s="5" t="b">
        <v>0</v>
      </c>
      <c r="BZ58" s="5" t="s">
        <v>692</v>
      </c>
      <c r="CA58" s="5" t="s">
        <v>15</v>
      </c>
      <c r="CB58" s="5" t="s">
        <v>693</v>
      </c>
      <c r="CC58" s="5" t="s">
        <v>160</v>
      </c>
      <c r="CD58" s="5">
        <v>405</v>
      </c>
      <c r="CE58" s="5">
        <v>32</v>
      </c>
      <c r="CF58" s="5" t="b">
        <v>0</v>
      </c>
      <c r="CG58" s="5" t="s">
        <v>161</v>
      </c>
      <c r="CH58" s="5">
        <v>48</v>
      </c>
      <c r="CI58" s="5">
        <v>1</v>
      </c>
      <c r="CJ58" s="5">
        <v>0.25</v>
      </c>
      <c r="CK58" s="5">
        <v>7</v>
      </c>
      <c r="CL58" s="5" t="s">
        <v>694</v>
      </c>
      <c r="CM58" s="5">
        <v>7</v>
      </c>
      <c r="CN58" s="5" t="s">
        <v>163</v>
      </c>
      <c r="CO58" s="5">
        <v>0</v>
      </c>
      <c r="CP58" s="5" t="s">
        <v>238</v>
      </c>
      <c r="CQ58" s="5" t="s">
        <v>164</v>
      </c>
      <c r="CR58" s="5" t="s">
        <v>691</v>
      </c>
      <c r="CS58" s="5">
        <v>61</v>
      </c>
      <c r="CT58" s="5" t="b">
        <v>0</v>
      </c>
      <c r="CU58" s="5" t="s">
        <v>165</v>
      </c>
      <c r="CV58" s="5" t="b">
        <v>1</v>
      </c>
      <c r="CW58" s="5" t="b">
        <v>0</v>
      </c>
      <c r="CX58" s="5">
        <v>1</v>
      </c>
      <c r="CY58" s="5">
        <v>2</v>
      </c>
      <c r="CZ58" s="5" t="b">
        <v>0</v>
      </c>
      <c r="DA58" s="5" t="b">
        <v>0</v>
      </c>
      <c r="DB58" s="5" t="b">
        <v>0</v>
      </c>
      <c r="DC58" s="5" t="s">
        <v>166</v>
      </c>
      <c r="DD58" s="5" t="s">
        <v>167</v>
      </c>
      <c r="DE58" s="5" t="s">
        <v>168</v>
      </c>
      <c r="DF58" s="5">
        <v>0.5</v>
      </c>
      <c r="DG58" s="5">
        <v>10</v>
      </c>
      <c r="DH58" s="5">
        <v>0.3</v>
      </c>
      <c r="DI58" s="5">
        <v>1</v>
      </c>
      <c r="DJ58" s="5">
        <v>1</v>
      </c>
      <c r="DK58" s="5" t="s">
        <v>169</v>
      </c>
      <c r="DL58" s="5" t="b">
        <v>0</v>
      </c>
      <c r="DM58" s="5">
        <v>32</v>
      </c>
      <c r="DN58" s="5">
        <v>1</v>
      </c>
      <c r="DO58" s="5" t="s">
        <v>170</v>
      </c>
      <c r="DP58" s="5" t="s">
        <v>693</v>
      </c>
      <c r="DQ58" s="5" t="s">
        <v>171</v>
      </c>
      <c r="DR58" s="5" t="s">
        <v>172</v>
      </c>
      <c r="DS58" s="7" t="str">
        <f>_xlfn.XLOOKUP(CP58,datasetmap!B:B,datasetmap!A:A)</f>
        <v>HB</v>
      </c>
      <c r="DT58" s="8">
        <f t="shared" si="0"/>
        <v>37.799049984</v>
      </c>
    </row>
    <row r="59" ht="17.6" spans="1:124">
      <c r="A59" s="5" t="s">
        <v>695</v>
      </c>
      <c r="B59" s="5">
        <v>32</v>
      </c>
      <c r="C59" s="5" t="s">
        <v>141</v>
      </c>
      <c r="D59" s="5" t="s">
        <v>696</v>
      </c>
      <c r="E59" s="5" t="s">
        <v>697</v>
      </c>
      <c r="F59" s="5" t="s">
        <v>698</v>
      </c>
      <c r="G59" s="6">
        <v>1.77899285256972e+18</v>
      </c>
      <c r="H59" s="5">
        <v>0.390459144509241</v>
      </c>
      <c r="I59" s="5">
        <v>0.308936567360181</v>
      </c>
      <c r="J59" s="5">
        <v>6.740247478</v>
      </c>
      <c r="K59" s="5">
        <v>0.390459144509241</v>
      </c>
      <c r="L59" s="6">
        <v>1.77899285256968e+18</v>
      </c>
      <c r="M59" s="5">
        <v>0.329411764705882</v>
      </c>
      <c r="N59" s="6">
        <v>1.77899286013309e+18</v>
      </c>
      <c r="O59" s="6">
        <v>1.77899232323703e+18</v>
      </c>
      <c r="P59" s="5">
        <v>526.139624299</v>
      </c>
      <c r="Q59" s="5">
        <v>0.25</v>
      </c>
      <c r="R59" s="5">
        <v>6</v>
      </c>
      <c r="S59" s="5" t="s">
        <v>145</v>
      </c>
      <c r="T59" s="5" t="s">
        <v>146</v>
      </c>
      <c r="U59" s="5" t="b">
        <v>0</v>
      </c>
      <c r="V59" s="5">
        <v>25</v>
      </c>
      <c r="W59" s="5">
        <v>0</v>
      </c>
      <c r="X59" s="5">
        <v>10</v>
      </c>
      <c r="Y59" s="5">
        <v>8</v>
      </c>
      <c r="Z59" s="5" t="b">
        <v>0</v>
      </c>
      <c r="AA59" s="5">
        <v>4</v>
      </c>
      <c r="AB59" s="5" t="b">
        <v>0</v>
      </c>
      <c r="AC59" s="5" t="b">
        <v>0</v>
      </c>
      <c r="AD59" s="5" t="s">
        <v>147</v>
      </c>
      <c r="AE59" s="5" t="s">
        <v>699</v>
      </c>
      <c r="AF59" s="5">
        <v>1</v>
      </c>
      <c r="AG59" s="5" t="b">
        <v>0</v>
      </c>
      <c r="AH59" s="5" t="b">
        <v>0</v>
      </c>
      <c r="AI59" s="5" t="s">
        <v>149</v>
      </c>
      <c r="AJ59" s="5">
        <v>3</v>
      </c>
      <c r="AK59" s="5" t="b">
        <v>0</v>
      </c>
      <c r="AL59" s="5">
        <v>26</v>
      </c>
      <c r="AM59" s="5">
        <v>0</v>
      </c>
      <c r="AN59" s="5">
        <v>0</v>
      </c>
      <c r="AO59" s="5" t="b">
        <v>0</v>
      </c>
      <c r="AP59" s="5">
        <v>0.001</v>
      </c>
      <c r="AQ59" s="5">
        <v>256</v>
      </c>
      <c r="AR59" s="5" t="b">
        <v>1</v>
      </c>
      <c r="AS59" s="5">
        <v>1</v>
      </c>
      <c r="AT59" s="5">
        <v>3</v>
      </c>
      <c r="AU59" s="5">
        <v>0.1</v>
      </c>
      <c r="AV59" s="5">
        <v>0.1</v>
      </c>
      <c r="AW59" s="5" t="b">
        <v>0</v>
      </c>
      <c r="AX59" s="5">
        <v>32</v>
      </c>
      <c r="AY59" s="5">
        <v>2026</v>
      </c>
      <c r="AZ59" s="5">
        <v>1</v>
      </c>
      <c r="BA59" s="5">
        <v>16</v>
      </c>
      <c r="BB59" s="5" t="s">
        <v>244</v>
      </c>
      <c r="BC59" s="5" t="s">
        <v>151</v>
      </c>
      <c r="BD59" s="5">
        <v>10</v>
      </c>
      <c r="BE59" s="5" t="b">
        <v>0</v>
      </c>
      <c r="BF59" s="5" t="s">
        <v>152</v>
      </c>
      <c r="BG59" s="5" t="s">
        <v>700</v>
      </c>
      <c r="BH59" s="5">
        <v>0</v>
      </c>
      <c r="BI59" s="5" t="s">
        <v>154</v>
      </c>
      <c r="BJ59" s="5">
        <v>2</v>
      </c>
      <c r="BK59" s="5"/>
      <c r="BL59" s="5" t="b">
        <v>0</v>
      </c>
      <c r="BM59" s="5">
        <v>0</v>
      </c>
      <c r="BN59" s="5">
        <v>0</v>
      </c>
      <c r="BO59" s="5" t="s">
        <v>155</v>
      </c>
      <c r="BP59" s="5">
        <v>128</v>
      </c>
      <c r="BQ59" s="5" t="s">
        <v>156</v>
      </c>
      <c r="BR59" s="5">
        <v>2</v>
      </c>
      <c r="BS59" s="5" t="s">
        <v>157</v>
      </c>
      <c r="BT59" s="5">
        <v>0</v>
      </c>
      <c r="BU59" s="5">
        <v>96</v>
      </c>
      <c r="BV59" s="5" t="b">
        <v>0</v>
      </c>
      <c r="BW59" s="5">
        <v>1000</v>
      </c>
      <c r="BX59" s="5">
        <v>0.3</v>
      </c>
      <c r="BY59" s="5" t="b">
        <v>0</v>
      </c>
      <c r="BZ59" s="5" t="s">
        <v>701</v>
      </c>
      <c r="CA59" s="5" t="s">
        <v>15</v>
      </c>
      <c r="CB59" s="5" t="s">
        <v>702</v>
      </c>
      <c r="CC59" s="5" t="s">
        <v>160</v>
      </c>
      <c r="CD59" s="5">
        <v>152</v>
      </c>
      <c r="CE59" s="5">
        <v>32</v>
      </c>
      <c r="CF59" s="5" t="b">
        <v>0</v>
      </c>
      <c r="CG59" s="5" t="s">
        <v>161</v>
      </c>
      <c r="CH59" s="5">
        <v>48</v>
      </c>
      <c r="CI59" s="5">
        <v>1</v>
      </c>
      <c r="CJ59" s="5">
        <v>0.25</v>
      </c>
      <c r="CK59" s="5">
        <v>7</v>
      </c>
      <c r="CL59" s="5" t="s">
        <v>703</v>
      </c>
      <c r="CM59" s="5">
        <v>7</v>
      </c>
      <c r="CN59" s="5" t="s">
        <v>163</v>
      </c>
      <c r="CO59" s="5">
        <v>0</v>
      </c>
      <c r="CP59" s="5" t="s">
        <v>249</v>
      </c>
      <c r="CQ59" s="5" t="s">
        <v>164</v>
      </c>
      <c r="CR59" s="5" t="s">
        <v>700</v>
      </c>
      <c r="CS59" s="5">
        <v>3</v>
      </c>
      <c r="CT59" s="5" t="b">
        <v>0</v>
      </c>
      <c r="CU59" s="5" t="s">
        <v>165</v>
      </c>
      <c r="CV59" s="5" t="b">
        <v>1</v>
      </c>
      <c r="CW59" s="5" t="b">
        <v>0</v>
      </c>
      <c r="CX59" s="5">
        <v>1</v>
      </c>
      <c r="CY59" s="5">
        <v>2</v>
      </c>
      <c r="CZ59" s="5" t="b">
        <v>0</v>
      </c>
      <c r="DA59" s="5" t="b">
        <v>0</v>
      </c>
      <c r="DB59" s="5" t="b">
        <v>0</v>
      </c>
      <c r="DC59" s="5" t="s">
        <v>166</v>
      </c>
      <c r="DD59" s="5" t="s">
        <v>167</v>
      </c>
      <c r="DE59" s="5" t="s">
        <v>168</v>
      </c>
      <c r="DF59" s="5">
        <v>0.5</v>
      </c>
      <c r="DG59" s="5">
        <v>10</v>
      </c>
      <c r="DH59" s="5">
        <v>0.3</v>
      </c>
      <c r="DI59" s="5">
        <v>1</v>
      </c>
      <c r="DJ59" s="5">
        <v>1</v>
      </c>
      <c r="DK59" s="5" t="s">
        <v>169</v>
      </c>
      <c r="DL59" s="5" t="b">
        <v>0</v>
      </c>
      <c r="DM59" s="5">
        <v>32</v>
      </c>
      <c r="DN59" s="5">
        <v>1</v>
      </c>
      <c r="DO59" s="5" t="s">
        <v>170</v>
      </c>
      <c r="DP59" s="5" t="s">
        <v>702</v>
      </c>
      <c r="DQ59" s="5" t="s">
        <v>171</v>
      </c>
      <c r="DR59" s="5" t="s">
        <v>172</v>
      </c>
      <c r="DS59" s="7" t="str">
        <f>_xlfn.XLOOKUP(CP59,datasetmap!B:B,datasetmap!A:A)</f>
        <v>HW</v>
      </c>
      <c r="DT59" s="8">
        <f t="shared" si="0"/>
        <v>7.563369984</v>
      </c>
    </row>
    <row r="60" ht="17.6" spans="1:124">
      <c r="A60" s="5" t="s">
        <v>704</v>
      </c>
      <c r="B60" s="5">
        <v>32</v>
      </c>
      <c r="C60" s="5" t="s">
        <v>141</v>
      </c>
      <c r="D60" s="5" t="s">
        <v>705</v>
      </c>
      <c r="E60" s="5" t="s">
        <v>706</v>
      </c>
      <c r="F60" s="5" t="s">
        <v>707</v>
      </c>
      <c r="G60" s="6">
        <v>1.77899225968242e+18</v>
      </c>
      <c r="H60" s="5">
        <v>0.236962345474511</v>
      </c>
      <c r="I60" s="5">
        <v>0.217966292744216</v>
      </c>
      <c r="J60" s="5">
        <v>8.1041887</v>
      </c>
      <c r="K60" s="5">
        <v>0.236962345474511</v>
      </c>
      <c r="L60" s="6">
        <v>1.77899225968237e+18</v>
      </c>
      <c r="M60" s="5">
        <v>0.29657794676806</v>
      </c>
      <c r="N60" s="6">
        <v>1.77899226834151e+18</v>
      </c>
      <c r="O60" s="6">
        <v>1.77899167806097e+18</v>
      </c>
      <c r="P60" s="5">
        <v>578.809391545</v>
      </c>
      <c r="Q60" s="5">
        <v>0.25</v>
      </c>
      <c r="R60" s="5">
        <v>6</v>
      </c>
      <c r="S60" s="5" t="s">
        <v>145</v>
      </c>
      <c r="T60" s="5" t="s">
        <v>146</v>
      </c>
      <c r="U60" s="5" t="b">
        <v>0</v>
      </c>
      <c r="V60" s="5">
        <v>25</v>
      </c>
      <c r="W60" s="5">
        <v>0</v>
      </c>
      <c r="X60" s="5">
        <v>10</v>
      </c>
      <c r="Y60" s="5">
        <v>8</v>
      </c>
      <c r="Z60" s="5" t="b">
        <v>0</v>
      </c>
      <c r="AA60" s="5">
        <v>4</v>
      </c>
      <c r="AB60" s="5" t="b">
        <v>0</v>
      </c>
      <c r="AC60" s="5" t="b">
        <v>0</v>
      </c>
      <c r="AD60" s="5" t="s">
        <v>147</v>
      </c>
      <c r="AE60" s="5" t="s">
        <v>708</v>
      </c>
      <c r="AF60" s="5">
        <v>1</v>
      </c>
      <c r="AG60" s="5" t="b">
        <v>0</v>
      </c>
      <c r="AH60" s="5" t="b">
        <v>0</v>
      </c>
      <c r="AI60" s="5" t="s">
        <v>149</v>
      </c>
      <c r="AJ60" s="5">
        <v>3</v>
      </c>
      <c r="AK60" s="5" t="b">
        <v>0</v>
      </c>
      <c r="AL60" s="5">
        <v>4</v>
      </c>
      <c r="AM60" s="5">
        <v>0</v>
      </c>
      <c r="AN60" s="5">
        <v>0</v>
      </c>
      <c r="AO60" s="5" t="b">
        <v>0</v>
      </c>
      <c r="AP60" s="5">
        <v>0.001</v>
      </c>
      <c r="AQ60" s="5">
        <v>256</v>
      </c>
      <c r="AR60" s="5" t="b">
        <v>1</v>
      </c>
      <c r="AS60" s="5">
        <v>1</v>
      </c>
      <c r="AT60" s="5">
        <v>3</v>
      </c>
      <c r="AU60" s="5">
        <v>0.1</v>
      </c>
      <c r="AV60" s="5">
        <v>0.1</v>
      </c>
      <c r="AW60" s="5" t="b">
        <v>0</v>
      </c>
      <c r="AX60" s="5">
        <v>32</v>
      </c>
      <c r="AY60" s="5">
        <v>2026</v>
      </c>
      <c r="AZ60" s="5">
        <v>1</v>
      </c>
      <c r="BA60" s="5">
        <v>16</v>
      </c>
      <c r="BB60" s="5" t="s">
        <v>264</v>
      </c>
      <c r="BC60" s="5" t="s">
        <v>151</v>
      </c>
      <c r="BD60" s="5">
        <v>10</v>
      </c>
      <c r="BE60" s="5" t="b">
        <v>0</v>
      </c>
      <c r="BF60" s="5" t="s">
        <v>152</v>
      </c>
      <c r="BG60" s="5" t="s">
        <v>709</v>
      </c>
      <c r="BH60" s="5">
        <v>0</v>
      </c>
      <c r="BI60" s="5" t="s">
        <v>154</v>
      </c>
      <c r="BJ60" s="5">
        <v>2</v>
      </c>
      <c r="BK60" s="5"/>
      <c r="BL60" s="5" t="b">
        <v>0</v>
      </c>
      <c r="BM60" s="5">
        <v>0</v>
      </c>
      <c r="BN60" s="5">
        <v>0</v>
      </c>
      <c r="BO60" s="5" t="s">
        <v>155</v>
      </c>
      <c r="BP60" s="5">
        <v>128</v>
      </c>
      <c r="BQ60" s="5" t="s">
        <v>156</v>
      </c>
      <c r="BR60" s="5">
        <v>2</v>
      </c>
      <c r="BS60" s="5" t="s">
        <v>157</v>
      </c>
      <c r="BT60" s="5">
        <v>0</v>
      </c>
      <c r="BU60" s="5">
        <v>96</v>
      </c>
      <c r="BV60" s="5" t="b">
        <v>0</v>
      </c>
      <c r="BW60" s="5">
        <v>1000</v>
      </c>
      <c r="BX60" s="5">
        <v>0.3</v>
      </c>
      <c r="BY60" s="5" t="b">
        <v>0</v>
      </c>
      <c r="BZ60" s="5" t="s">
        <v>710</v>
      </c>
      <c r="CA60" s="5" t="s">
        <v>15</v>
      </c>
      <c r="CB60" s="5" t="s">
        <v>711</v>
      </c>
      <c r="CC60" s="5" t="s">
        <v>160</v>
      </c>
      <c r="CD60" s="5">
        <v>1751</v>
      </c>
      <c r="CE60" s="5">
        <v>32</v>
      </c>
      <c r="CF60" s="5" t="b">
        <v>0</v>
      </c>
      <c r="CG60" s="5" t="s">
        <v>161</v>
      </c>
      <c r="CH60" s="5">
        <v>48</v>
      </c>
      <c r="CI60" s="5">
        <v>1</v>
      </c>
      <c r="CJ60" s="5">
        <v>0.25</v>
      </c>
      <c r="CK60" s="5">
        <v>7</v>
      </c>
      <c r="CL60" s="5" t="s">
        <v>712</v>
      </c>
      <c r="CM60" s="5">
        <v>7</v>
      </c>
      <c r="CN60" s="5" t="s">
        <v>163</v>
      </c>
      <c r="CO60" s="5">
        <v>0</v>
      </c>
      <c r="CP60" s="5" t="s">
        <v>269</v>
      </c>
      <c r="CQ60" s="5" t="s">
        <v>164</v>
      </c>
      <c r="CR60" s="5" t="s">
        <v>709</v>
      </c>
      <c r="CS60" s="5">
        <v>3</v>
      </c>
      <c r="CT60" s="5" t="b">
        <v>0</v>
      </c>
      <c r="CU60" s="5" t="s">
        <v>165</v>
      </c>
      <c r="CV60" s="5" t="b">
        <v>1</v>
      </c>
      <c r="CW60" s="5" t="b">
        <v>0</v>
      </c>
      <c r="CX60" s="5">
        <v>1</v>
      </c>
      <c r="CY60" s="5">
        <v>2</v>
      </c>
      <c r="CZ60" s="5" t="b">
        <v>0</v>
      </c>
      <c r="DA60" s="5" t="b">
        <v>0</v>
      </c>
      <c r="DB60" s="5" t="b">
        <v>0</v>
      </c>
      <c r="DC60" s="5" t="s">
        <v>166</v>
      </c>
      <c r="DD60" s="5" t="s">
        <v>167</v>
      </c>
      <c r="DE60" s="5" t="s">
        <v>168</v>
      </c>
      <c r="DF60" s="5">
        <v>0.5</v>
      </c>
      <c r="DG60" s="5">
        <v>10</v>
      </c>
      <c r="DH60" s="5">
        <v>0.3</v>
      </c>
      <c r="DI60" s="5">
        <v>1</v>
      </c>
      <c r="DJ60" s="5">
        <v>1</v>
      </c>
      <c r="DK60" s="5" t="s">
        <v>169</v>
      </c>
      <c r="DL60" s="5" t="b">
        <v>0</v>
      </c>
      <c r="DM60" s="5">
        <v>32</v>
      </c>
      <c r="DN60" s="5">
        <v>1</v>
      </c>
      <c r="DO60" s="5" t="s">
        <v>170</v>
      </c>
      <c r="DP60" s="5" t="s">
        <v>711</v>
      </c>
      <c r="DQ60" s="5" t="s">
        <v>171</v>
      </c>
      <c r="DR60" s="5" t="s">
        <v>172</v>
      </c>
      <c r="DS60" s="7" t="str">
        <f>_xlfn.XLOOKUP(CP60,datasetmap!B:B,datasetmap!A:A)</f>
        <v>EC</v>
      </c>
      <c r="DT60" s="8">
        <f t="shared" si="0"/>
        <v>8.65908992</v>
      </c>
    </row>
    <row r="61" ht="17.6" spans="1:124">
      <c r="A61" s="5" t="s">
        <v>713</v>
      </c>
      <c r="B61" s="5">
        <v>32</v>
      </c>
      <c r="C61" s="5" t="s">
        <v>141</v>
      </c>
      <c r="D61" s="5" t="s">
        <v>714</v>
      </c>
      <c r="E61" s="5" t="s">
        <v>715</v>
      </c>
      <c r="F61" s="5" t="s">
        <v>716</v>
      </c>
      <c r="G61" s="6">
        <v>1.77899167428116e+18</v>
      </c>
      <c r="H61" s="5">
        <v>0.842359530068687</v>
      </c>
      <c r="I61" s="5">
        <v>0.822904956624698</v>
      </c>
      <c r="J61" s="5">
        <v>1.700030906</v>
      </c>
      <c r="K61" s="5">
        <v>0.842359530068687</v>
      </c>
      <c r="L61" s="6">
        <v>1.77899167428108e+18</v>
      </c>
      <c r="M61" s="5">
        <v>0.826589595375722</v>
      </c>
      <c r="N61" s="6">
        <v>1.77899173066238e+18</v>
      </c>
      <c r="O61" s="6">
        <v>1.778990981308e+18</v>
      </c>
      <c r="P61" s="5">
        <v>196.090334746</v>
      </c>
      <c r="Q61" s="5">
        <v>0.25</v>
      </c>
      <c r="R61" s="5">
        <v>6</v>
      </c>
      <c r="S61" s="5" t="s">
        <v>145</v>
      </c>
      <c r="T61" s="5" t="s">
        <v>146</v>
      </c>
      <c r="U61" s="5" t="b">
        <v>0</v>
      </c>
      <c r="V61" s="5">
        <v>25</v>
      </c>
      <c r="W61" s="5">
        <v>0</v>
      </c>
      <c r="X61" s="5">
        <v>10</v>
      </c>
      <c r="Y61" s="5">
        <v>8</v>
      </c>
      <c r="Z61" s="5" t="b">
        <v>0</v>
      </c>
      <c r="AA61" s="5">
        <v>4</v>
      </c>
      <c r="AB61" s="5" t="b">
        <v>0</v>
      </c>
      <c r="AC61" s="5" t="b">
        <v>0</v>
      </c>
      <c r="AD61" s="5" t="s">
        <v>147</v>
      </c>
      <c r="AE61" s="5" t="s">
        <v>717</v>
      </c>
      <c r="AF61" s="5">
        <v>1</v>
      </c>
      <c r="AG61" s="5" t="b">
        <v>0</v>
      </c>
      <c r="AH61" s="5" t="b">
        <v>0</v>
      </c>
      <c r="AI61" s="5" t="s">
        <v>149</v>
      </c>
      <c r="AJ61" s="5">
        <v>3</v>
      </c>
      <c r="AK61" s="5" t="b">
        <v>0</v>
      </c>
      <c r="AL61" s="5">
        <v>7</v>
      </c>
      <c r="AM61" s="5">
        <v>0</v>
      </c>
      <c r="AN61" s="5">
        <v>0</v>
      </c>
      <c r="AO61" s="5" t="b">
        <v>0</v>
      </c>
      <c r="AP61" s="5">
        <v>0.001</v>
      </c>
      <c r="AQ61" s="5">
        <v>256</v>
      </c>
      <c r="AR61" s="5" t="b">
        <v>1</v>
      </c>
      <c r="AS61" s="5">
        <v>1</v>
      </c>
      <c r="AT61" s="5">
        <v>3</v>
      </c>
      <c r="AU61" s="5">
        <v>0.1</v>
      </c>
      <c r="AV61" s="5">
        <v>0.1</v>
      </c>
      <c r="AW61" s="5" t="b">
        <v>0</v>
      </c>
      <c r="AX61" s="5">
        <v>32</v>
      </c>
      <c r="AY61" s="5">
        <v>1234</v>
      </c>
      <c r="AZ61" s="5">
        <v>1</v>
      </c>
      <c r="BA61" s="5">
        <v>16</v>
      </c>
      <c r="BB61" s="5" t="s">
        <v>150</v>
      </c>
      <c r="BC61" s="5" t="s">
        <v>151</v>
      </c>
      <c r="BD61" s="5">
        <v>10</v>
      </c>
      <c r="BE61" s="5" t="b">
        <v>0</v>
      </c>
      <c r="BF61" s="5" t="s">
        <v>152</v>
      </c>
      <c r="BG61" s="5" t="s">
        <v>718</v>
      </c>
      <c r="BH61" s="5">
        <v>0</v>
      </c>
      <c r="BI61" s="5" t="s">
        <v>154</v>
      </c>
      <c r="BJ61" s="5">
        <v>2</v>
      </c>
      <c r="BK61" s="5"/>
      <c r="BL61" s="5" t="b">
        <v>0</v>
      </c>
      <c r="BM61" s="5">
        <v>0</v>
      </c>
      <c r="BN61" s="5">
        <v>0</v>
      </c>
      <c r="BO61" s="5" t="s">
        <v>155</v>
      </c>
      <c r="BP61" s="5">
        <v>128</v>
      </c>
      <c r="BQ61" s="5" t="s">
        <v>156</v>
      </c>
      <c r="BR61" s="5">
        <v>2</v>
      </c>
      <c r="BS61" s="5" t="s">
        <v>157</v>
      </c>
      <c r="BT61" s="5">
        <v>0</v>
      </c>
      <c r="BU61" s="5">
        <v>96</v>
      </c>
      <c r="BV61" s="5" t="b">
        <v>0</v>
      </c>
      <c r="BW61" s="5">
        <v>1000</v>
      </c>
      <c r="BX61" s="5">
        <v>0.3</v>
      </c>
      <c r="BY61" s="5" t="b">
        <v>0</v>
      </c>
      <c r="BZ61" s="5" t="s">
        <v>719</v>
      </c>
      <c r="CA61" s="5" t="s">
        <v>15</v>
      </c>
      <c r="CB61" s="5" t="s">
        <v>720</v>
      </c>
      <c r="CC61" s="5" t="s">
        <v>160</v>
      </c>
      <c r="CD61" s="5">
        <v>144</v>
      </c>
      <c r="CE61" s="5">
        <v>32</v>
      </c>
      <c r="CF61" s="5" t="b">
        <v>0</v>
      </c>
      <c r="CG61" s="5" t="s">
        <v>161</v>
      </c>
      <c r="CH61" s="5">
        <v>48</v>
      </c>
      <c r="CI61" s="5">
        <v>1</v>
      </c>
      <c r="CJ61" s="5">
        <v>0.25</v>
      </c>
      <c r="CK61" s="5">
        <v>7</v>
      </c>
      <c r="CL61" s="5" t="s">
        <v>721</v>
      </c>
      <c r="CM61" s="5">
        <v>7</v>
      </c>
      <c r="CN61" s="5" t="s">
        <v>163</v>
      </c>
      <c r="CO61" s="5">
        <v>0</v>
      </c>
      <c r="CP61" s="5" t="s">
        <v>8</v>
      </c>
      <c r="CQ61" s="5" t="s">
        <v>164</v>
      </c>
      <c r="CR61" s="5" t="s">
        <v>718</v>
      </c>
      <c r="CS61" s="5">
        <v>963</v>
      </c>
      <c r="CT61" s="5" t="b">
        <v>0</v>
      </c>
      <c r="CU61" s="5" t="s">
        <v>165</v>
      </c>
      <c r="CV61" s="5" t="b">
        <v>1</v>
      </c>
      <c r="CW61" s="5" t="b">
        <v>0</v>
      </c>
      <c r="CX61" s="5">
        <v>1</v>
      </c>
      <c r="CY61" s="5">
        <v>2</v>
      </c>
      <c r="CZ61" s="5" t="b">
        <v>0</v>
      </c>
      <c r="DA61" s="5" t="b">
        <v>0</v>
      </c>
      <c r="DB61" s="5" t="b">
        <v>0</v>
      </c>
      <c r="DC61" s="5" t="s">
        <v>166</v>
      </c>
      <c r="DD61" s="5" t="s">
        <v>167</v>
      </c>
      <c r="DE61" s="5" t="s">
        <v>168</v>
      </c>
      <c r="DF61" s="5">
        <v>0.5</v>
      </c>
      <c r="DG61" s="5">
        <v>10</v>
      </c>
      <c r="DH61" s="5">
        <v>0.3</v>
      </c>
      <c r="DI61" s="5">
        <v>1</v>
      </c>
      <c r="DJ61" s="5">
        <v>1</v>
      </c>
      <c r="DK61" s="5" t="s">
        <v>169</v>
      </c>
      <c r="DL61" s="5" t="b">
        <v>0</v>
      </c>
      <c r="DM61" s="5">
        <v>32</v>
      </c>
      <c r="DN61" s="5">
        <v>1</v>
      </c>
      <c r="DO61" s="5" t="s">
        <v>170</v>
      </c>
      <c r="DP61" s="5" t="s">
        <v>720</v>
      </c>
      <c r="DQ61" s="5" t="s">
        <v>171</v>
      </c>
      <c r="DR61" s="5" t="s">
        <v>172</v>
      </c>
      <c r="DS61" s="7" t="str">
        <f>_xlfn.XLOOKUP(CP61,datasetmap!B:B,datasetmap!A:A)</f>
        <v>PEMS-SF</v>
      </c>
      <c r="DT61" s="8">
        <f t="shared" si="0"/>
        <v>56.381220096</v>
      </c>
    </row>
    <row r="62" ht="17.6" spans="1:124">
      <c r="A62" s="5" t="s">
        <v>722</v>
      </c>
      <c r="B62" s="5">
        <v>32</v>
      </c>
      <c r="C62" s="5" t="s">
        <v>141</v>
      </c>
      <c r="D62" s="5" t="s">
        <v>723</v>
      </c>
      <c r="E62" s="5" t="s">
        <v>724</v>
      </c>
      <c r="F62" s="5" t="s">
        <v>725</v>
      </c>
      <c r="G62" s="6">
        <v>1.77899165470997e+18</v>
      </c>
      <c r="H62" s="5">
        <v>0.874200287145333</v>
      </c>
      <c r="I62" s="5">
        <v>0.871457882792172</v>
      </c>
      <c r="J62" s="5">
        <v>4.273863719</v>
      </c>
      <c r="K62" s="5">
        <v>0.874200287145333</v>
      </c>
      <c r="L62" s="6">
        <v>1.77899165470993e+18</v>
      </c>
      <c r="M62" s="5">
        <v>0.871875</v>
      </c>
      <c r="N62" s="6">
        <v>1.7789916593449e+18</v>
      </c>
      <c r="O62" s="6">
        <v>1.77899143970886e+18</v>
      </c>
      <c r="P62" s="5">
        <v>213.026746164</v>
      </c>
      <c r="Q62" s="5">
        <v>0.25</v>
      </c>
      <c r="R62" s="5">
        <v>6</v>
      </c>
      <c r="S62" s="5" t="s">
        <v>145</v>
      </c>
      <c r="T62" s="5" t="s">
        <v>146</v>
      </c>
      <c r="U62" s="5" t="b">
        <v>0</v>
      </c>
      <c r="V62" s="5">
        <v>25</v>
      </c>
      <c r="W62" s="5">
        <v>0</v>
      </c>
      <c r="X62" s="5">
        <v>10</v>
      </c>
      <c r="Y62" s="5">
        <v>8</v>
      </c>
      <c r="Z62" s="5" t="b">
        <v>0</v>
      </c>
      <c r="AA62" s="5">
        <v>4</v>
      </c>
      <c r="AB62" s="5" t="b">
        <v>0</v>
      </c>
      <c r="AC62" s="5" t="b">
        <v>0</v>
      </c>
      <c r="AD62" s="5" t="s">
        <v>147</v>
      </c>
      <c r="AE62" s="5" t="s">
        <v>726</v>
      </c>
      <c r="AF62" s="5">
        <v>1</v>
      </c>
      <c r="AG62" s="5" t="b">
        <v>0</v>
      </c>
      <c r="AH62" s="5" t="b">
        <v>0</v>
      </c>
      <c r="AI62" s="5" t="s">
        <v>149</v>
      </c>
      <c r="AJ62" s="5">
        <v>3</v>
      </c>
      <c r="AK62" s="5" t="b">
        <v>0</v>
      </c>
      <c r="AL62" s="5">
        <v>8</v>
      </c>
      <c r="AM62" s="5">
        <v>0</v>
      </c>
      <c r="AN62" s="5">
        <v>0</v>
      </c>
      <c r="AO62" s="5" t="b">
        <v>0</v>
      </c>
      <c r="AP62" s="5">
        <v>0.001</v>
      </c>
      <c r="AQ62" s="5">
        <v>256</v>
      </c>
      <c r="AR62" s="5" t="b">
        <v>1</v>
      </c>
      <c r="AS62" s="5">
        <v>1</v>
      </c>
      <c r="AT62" s="5">
        <v>3</v>
      </c>
      <c r="AU62" s="5">
        <v>0.1</v>
      </c>
      <c r="AV62" s="5">
        <v>0.1</v>
      </c>
      <c r="AW62" s="5" t="b">
        <v>0</v>
      </c>
      <c r="AX62" s="5">
        <v>32</v>
      </c>
      <c r="AY62" s="5">
        <v>2026</v>
      </c>
      <c r="AZ62" s="5">
        <v>1</v>
      </c>
      <c r="BA62" s="5">
        <v>16</v>
      </c>
      <c r="BB62" s="5" t="s">
        <v>275</v>
      </c>
      <c r="BC62" s="5" t="s">
        <v>151</v>
      </c>
      <c r="BD62" s="5">
        <v>10</v>
      </c>
      <c r="BE62" s="5" t="b">
        <v>0</v>
      </c>
      <c r="BF62" s="5" t="s">
        <v>152</v>
      </c>
      <c r="BG62" s="5" t="s">
        <v>727</v>
      </c>
      <c r="BH62" s="5">
        <v>0</v>
      </c>
      <c r="BI62" s="5" t="s">
        <v>154</v>
      </c>
      <c r="BJ62" s="5">
        <v>2</v>
      </c>
      <c r="BK62" s="5"/>
      <c r="BL62" s="5" t="b">
        <v>0</v>
      </c>
      <c r="BM62" s="5">
        <v>0</v>
      </c>
      <c r="BN62" s="5">
        <v>0</v>
      </c>
      <c r="BO62" s="5" t="s">
        <v>155</v>
      </c>
      <c r="BP62" s="5">
        <v>128</v>
      </c>
      <c r="BQ62" s="5" t="s">
        <v>156</v>
      </c>
      <c r="BR62" s="5">
        <v>2</v>
      </c>
      <c r="BS62" s="5" t="s">
        <v>157</v>
      </c>
      <c r="BT62" s="5">
        <v>0</v>
      </c>
      <c r="BU62" s="5">
        <v>96</v>
      </c>
      <c r="BV62" s="5" t="b">
        <v>0</v>
      </c>
      <c r="BW62" s="5">
        <v>1000</v>
      </c>
      <c r="BX62" s="5">
        <v>0.3</v>
      </c>
      <c r="BY62" s="5" t="b">
        <v>0</v>
      </c>
      <c r="BZ62" s="5" t="s">
        <v>728</v>
      </c>
      <c r="CA62" s="5" t="s">
        <v>15</v>
      </c>
      <c r="CB62" s="5" t="s">
        <v>729</v>
      </c>
      <c r="CC62" s="5" t="s">
        <v>160</v>
      </c>
      <c r="CD62" s="5">
        <v>315</v>
      </c>
      <c r="CE62" s="5">
        <v>32</v>
      </c>
      <c r="CF62" s="5" t="b">
        <v>0</v>
      </c>
      <c r="CG62" s="5" t="s">
        <v>161</v>
      </c>
      <c r="CH62" s="5">
        <v>48</v>
      </c>
      <c r="CI62" s="5">
        <v>1</v>
      </c>
      <c r="CJ62" s="5">
        <v>0.25</v>
      </c>
      <c r="CK62" s="5">
        <v>7</v>
      </c>
      <c r="CL62" s="5" t="s">
        <v>730</v>
      </c>
      <c r="CM62" s="5">
        <v>7</v>
      </c>
      <c r="CN62" s="5" t="s">
        <v>163</v>
      </c>
      <c r="CO62" s="5">
        <v>0</v>
      </c>
      <c r="CP62" s="5" t="s">
        <v>280</v>
      </c>
      <c r="CQ62" s="5" t="s">
        <v>164</v>
      </c>
      <c r="CR62" s="5" t="s">
        <v>727</v>
      </c>
      <c r="CS62" s="5">
        <v>3</v>
      </c>
      <c r="CT62" s="5" t="b">
        <v>0</v>
      </c>
      <c r="CU62" s="5" t="s">
        <v>165</v>
      </c>
      <c r="CV62" s="5" t="b">
        <v>1</v>
      </c>
      <c r="CW62" s="5" t="b">
        <v>0</v>
      </c>
      <c r="CX62" s="5">
        <v>1</v>
      </c>
      <c r="CY62" s="5">
        <v>2</v>
      </c>
      <c r="CZ62" s="5" t="b">
        <v>0</v>
      </c>
      <c r="DA62" s="5" t="b">
        <v>0</v>
      </c>
      <c r="DB62" s="5" t="b">
        <v>0</v>
      </c>
      <c r="DC62" s="5" t="s">
        <v>166</v>
      </c>
      <c r="DD62" s="5" t="s">
        <v>167</v>
      </c>
      <c r="DE62" s="5" t="s">
        <v>168</v>
      </c>
      <c r="DF62" s="5">
        <v>0.5</v>
      </c>
      <c r="DG62" s="5">
        <v>10</v>
      </c>
      <c r="DH62" s="5">
        <v>0.3</v>
      </c>
      <c r="DI62" s="5">
        <v>1</v>
      </c>
      <c r="DJ62" s="5">
        <v>1</v>
      </c>
      <c r="DK62" s="5" t="s">
        <v>169</v>
      </c>
      <c r="DL62" s="5" t="b">
        <v>0</v>
      </c>
      <c r="DM62" s="5">
        <v>32</v>
      </c>
      <c r="DN62" s="5">
        <v>1</v>
      </c>
      <c r="DO62" s="5" t="s">
        <v>170</v>
      </c>
      <c r="DP62" s="5" t="s">
        <v>729</v>
      </c>
      <c r="DQ62" s="5" t="s">
        <v>171</v>
      </c>
      <c r="DR62" s="5" t="s">
        <v>172</v>
      </c>
      <c r="DS62" s="7" t="str">
        <f>_xlfn.XLOOKUP(CP62,datasetmap!B:B,datasetmap!A:A)</f>
        <v>UWG</v>
      </c>
      <c r="DT62" s="8">
        <f t="shared" si="0"/>
        <v>4.634930176</v>
      </c>
    </row>
    <row r="63" ht="17.6" spans="1:124">
      <c r="A63" s="5" t="s">
        <v>731</v>
      </c>
      <c r="B63" s="5">
        <v>32</v>
      </c>
      <c r="C63" s="5" t="s">
        <v>141</v>
      </c>
      <c r="D63" s="5" t="s">
        <v>732</v>
      </c>
      <c r="E63" s="5" t="s">
        <v>733</v>
      </c>
      <c r="F63" s="5" t="s">
        <v>734</v>
      </c>
      <c r="G63" s="6">
        <v>1.77899140418809e+18</v>
      </c>
      <c r="H63" s="5">
        <v>0.988009767153344</v>
      </c>
      <c r="I63" s="5">
        <v>0.98770162241576</v>
      </c>
      <c r="J63" s="5">
        <v>11.713285727</v>
      </c>
      <c r="K63" s="5">
        <v>0.988009767153344</v>
      </c>
      <c r="L63" s="6">
        <v>1.77899140418803e+18</v>
      </c>
      <c r="M63" s="5">
        <v>0.987721691678035</v>
      </c>
      <c r="N63" s="6">
        <v>1.7789914208249e+18</v>
      </c>
      <c r="O63" s="6">
        <v>1.7789886880937e+18</v>
      </c>
      <c r="P63" s="5">
        <v>2449.573040424</v>
      </c>
      <c r="Q63" s="5">
        <v>0.25</v>
      </c>
      <c r="R63" s="5">
        <v>6</v>
      </c>
      <c r="S63" s="5" t="s">
        <v>145</v>
      </c>
      <c r="T63" s="5" t="s">
        <v>146</v>
      </c>
      <c r="U63" s="5" t="b">
        <v>0</v>
      </c>
      <c r="V63" s="5">
        <v>25</v>
      </c>
      <c r="W63" s="5">
        <v>0</v>
      </c>
      <c r="X63" s="5">
        <v>10</v>
      </c>
      <c r="Y63" s="5">
        <v>8</v>
      </c>
      <c r="Z63" s="5" t="b">
        <v>0</v>
      </c>
      <c r="AA63" s="5">
        <v>4</v>
      </c>
      <c r="AB63" s="5" t="b">
        <v>0</v>
      </c>
      <c r="AC63" s="5" t="b">
        <v>0</v>
      </c>
      <c r="AD63" s="5" t="s">
        <v>147</v>
      </c>
      <c r="AE63" s="5" t="s">
        <v>735</v>
      </c>
      <c r="AF63" s="5">
        <v>1</v>
      </c>
      <c r="AG63" s="5" t="b">
        <v>0</v>
      </c>
      <c r="AH63" s="5" t="b">
        <v>0</v>
      </c>
      <c r="AI63" s="5" t="s">
        <v>149</v>
      </c>
      <c r="AJ63" s="5">
        <v>3</v>
      </c>
      <c r="AK63" s="5" t="b">
        <v>0</v>
      </c>
      <c r="AL63" s="5">
        <v>10</v>
      </c>
      <c r="AM63" s="5">
        <v>0</v>
      </c>
      <c r="AN63" s="5">
        <v>0</v>
      </c>
      <c r="AO63" s="5" t="b">
        <v>0</v>
      </c>
      <c r="AP63" s="5">
        <v>0.001</v>
      </c>
      <c r="AQ63" s="5">
        <v>256</v>
      </c>
      <c r="AR63" s="5" t="b">
        <v>1</v>
      </c>
      <c r="AS63" s="5">
        <v>1</v>
      </c>
      <c r="AT63" s="5">
        <v>3</v>
      </c>
      <c r="AU63" s="5">
        <v>0.1</v>
      </c>
      <c r="AV63" s="5">
        <v>0.1</v>
      </c>
      <c r="AW63" s="5" t="b">
        <v>0</v>
      </c>
      <c r="AX63" s="5">
        <v>32</v>
      </c>
      <c r="AY63" s="5">
        <v>1234</v>
      </c>
      <c r="AZ63" s="5">
        <v>1</v>
      </c>
      <c r="BA63" s="5">
        <v>16</v>
      </c>
      <c r="BB63" s="5" t="s">
        <v>178</v>
      </c>
      <c r="BC63" s="5" t="s">
        <v>151</v>
      </c>
      <c r="BD63" s="5">
        <v>10</v>
      </c>
      <c r="BE63" s="5" t="b">
        <v>0</v>
      </c>
      <c r="BF63" s="5" t="s">
        <v>152</v>
      </c>
      <c r="BG63" s="5" t="s">
        <v>736</v>
      </c>
      <c r="BH63" s="5">
        <v>0</v>
      </c>
      <c r="BI63" s="5" t="s">
        <v>154</v>
      </c>
      <c r="BJ63" s="5">
        <v>2</v>
      </c>
      <c r="BK63" s="5"/>
      <c r="BL63" s="5" t="b">
        <v>0</v>
      </c>
      <c r="BM63" s="5">
        <v>0</v>
      </c>
      <c r="BN63" s="5">
        <v>0</v>
      </c>
      <c r="BO63" s="5" t="s">
        <v>155</v>
      </c>
      <c r="BP63" s="5">
        <v>128</v>
      </c>
      <c r="BQ63" s="5" t="s">
        <v>156</v>
      </c>
      <c r="BR63" s="5">
        <v>2</v>
      </c>
      <c r="BS63" s="5" t="s">
        <v>157</v>
      </c>
      <c r="BT63" s="5">
        <v>0</v>
      </c>
      <c r="BU63" s="5">
        <v>96</v>
      </c>
      <c r="BV63" s="5" t="b">
        <v>0</v>
      </c>
      <c r="BW63" s="5">
        <v>1000</v>
      </c>
      <c r="BX63" s="5">
        <v>0.3</v>
      </c>
      <c r="BY63" s="5" t="b">
        <v>0</v>
      </c>
      <c r="BZ63" s="5" t="s">
        <v>737</v>
      </c>
      <c r="CA63" s="5" t="s">
        <v>15</v>
      </c>
      <c r="CB63" s="5" t="s">
        <v>738</v>
      </c>
      <c r="CC63" s="5" t="s">
        <v>160</v>
      </c>
      <c r="CD63" s="5">
        <v>93</v>
      </c>
      <c r="CE63" s="5">
        <v>32</v>
      </c>
      <c r="CF63" s="5" t="b">
        <v>0</v>
      </c>
      <c r="CG63" s="5" t="s">
        <v>161</v>
      </c>
      <c r="CH63" s="5">
        <v>48</v>
      </c>
      <c r="CI63" s="5">
        <v>1</v>
      </c>
      <c r="CJ63" s="5">
        <v>0.25</v>
      </c>
      <c r="CK63" s="5">
        <v>7</v>
      </c>
      <c r="CL63" s="5" t="s">
        <v>739</v>
      </c>
      <c r="CM63" s="5">
        <v>7</v>
      </c>
      <c r="CN63" s="5" t="s">
        <v>163</v>
      </c>
      <c r="CO63" s="5">
        <v>0</v>
      </c>
      <c r="CP63" s="5" t="s">
        <v>183</v>
      </c>
      <c r="CQ63" s="5" t="s">
        <v>164</v>
      </c>
      <c r="CR63" s="5" t="s">
        <v>736</v>
      </c>
      <c r="CS63" s="5">
        <v>13</v>
      </c>
      <c r="CT63" s="5" t="b">
        <v>0</v>
      </c>
      <c r="CU63" s="5" t="s">
        <v>165</v>
      </c>
      <c r="CV63" s="5" t="b">
        <v>1</v>
      </c>
      <c r="CW63" s="5" t="b">
        <v>0</v>
      </c>
      <c r="CX63" s="5">
        <v>1</v>
      </c>
      <c r="CY63" s="5">
        <v>2</v>
      </c>
      <c r="CZ63" s="5" t="b">
        <v>0</v>
      </c>
      <c r="DA63" s="5" t="b">
        <v>0</v>
      </c>
      <c r="DB63" s="5" t="b">
        <v>0</v>
      </c>
      <c r="DC63" s="5" t="s">
        <v>166</v>
      </c>
      <c r="DD63" s="5" t="s">
        <v>167</v>
      </c>
      <c r="DE63" s="5" t="s">
        <v>168</v>
      </c>
      <c r="DF63" s="5">
        <v>0.5</v>
      </c>
      <c r="DG63" s="5">
        <v>10</v>
      </c>
      <c r="DH63" s="5">
        <v>0.3</v>
      </c>
      <c r="DI63" s="5">
        <v>1</v>
      </c>
      <c r="DJ63" s="5">
        <v>1</v>
      </c>
      <c r="DK63" s="5" t="s">
        <v>169</v>
      </c>
      <c r="DL63" s="5" t="b">
        <v>0</v>
      </c>
      <c r="DM63" s="5">
        <v>32</v>
      </c>
      <c r="DN63" s="5">
        <v>1</v>
      </c>
      <c r="DO63" s="5" t="s">
        <v>170</v>
      </c>
      <c r="DP63" s="5" t="s">
        <v>738</v>
      </c>
      <c r="DQ63" s="5" t="s">
        <v>171</v>
      </c>
      <c r="DR63" s="5" t="s">
        <v>172</v>
      </c>
      <c r="DS63" s="7" t="str">
        <f>_xlfn.XLOOKUP(CP63,datasetmap!B:B,datasetmap!A:A)</f>
        <v>SAD</v>
      </c>
      <c r="DT63" s="8">
        <f t="shared" si="0"/>
        <v>16.636809984</v>
      </c>
    </row>
    <row r="64" ht="17.6" spans="1:124">
      <c r="A64" s="5" t="s">
        <v>740</v>
      </c>
      <c r="B64" s="5">
        <v>32</v>
      </c>
      <c r="C64" s="5" t="s">
        <v>141</v>
      </c>
      <c r="D64" s="5" t="s">
        <v>741</v>
      </c>
      <c r="E64" s="5" t="s">
        <v>742</v>
      </c>
      <c r="F64" s="5" t="s">
        <v>743</v>
      </c>
      <c r="G64" s="6">
        <v>1.7789889394393e+18</v>
      </c>
      <c r="H64" s="5">
        <v>0.658595345171235</v>
      </c>
      <c r="I64" s="5">
        <v>0.656894464589604</v>
      </c>
      <c r="J64" s="5">
        <v>44.355123314</v>
      </c>
      <c r="K64" s="5">
        <v>0.658595345171235</v>
      </c>
      <c r="L64" s="6">
        <v>1.77898893943922e+18</v>
      </c>
      <c r="M64" s="5">
        <v>0.657491486946651</v>
      </c>
      <c r="N64" s="6">
        <v>1.77898953979962e+18</v>
      </c>
      <c r="O64" s="6">
        <v>1.77898629828277e+18</v>
      </c>
      <c r="P64" s="5">
        <v>1951.512585977</v>
      </c>
      <c r="Q64" s="5">
        <v>0.25</v>
      </c>
      <c r="R64" s="5">
        <v>6</v>
      </c>
      <c r="S64" s="5" t="s">
        <v>145</v>
      </c>
      <c r="T64" s="5" t="s">
        <v>146</v>
      </c>
      <c r="U64" s="5" t="b">
        <v>0</v>
      </c>
      <c r="V64" s="5">
        <v>25</v>
      </c>
      <c r="W64" s="5">
        <v>0</v>
      </c>
      <c r="X64" s="5">
        <v>10</v>
      </c>
      <c r="Y64" s="5">
        <v>8</v>
      </c>
      <c r="Z64" s="5" t="b">
        <v>0</v>
      </c>
      <c r="AA64" s="5">
        <v>4</v>
      </c>
      <c r="AB64" s="5" t="b">
        <v>0</v>
      </c>
      <c r="AC64" s="5" t="b">
        <v>0</v>
      </c>
      <c r="AD64" s="5" t="s">
        <v>147</v>
      </c>
      <c r="AE64" s="5" t="s">
        <v>744</v>
      </c>
      <c r="AF64" s="5">
        <v>1</v>
      </c>
      <c r="AG64" s="5" t="b">
        <v>0</v>
      </c>
      <c r="AH64" s="5" t="b">
        <v>0</v>
      </c>
      <c r="AI64" s="5" t="s">
        <v>149</v>
      </c>
      <c r="AJ64" s="5">
        <v>3</v>
      </c>
      <c r="AK64" s="5" t="b">
        <v>0</v>
      </c>
      <c r="AL64" s="5">
        <v>2</v>
      </c>
      <c r="AM64" s="5">
        <v>0</v>
      </c>
      <c r="AN64" s="5">
        <v>0</v>
      </c>
      <c r="AO64" s="5" t="b">
        <v>0</v>
      </c>
      <c r="AP64" s="5">
        <v>0.001</v>
      </c>
      <c r="AQ64" s="5">
        <v>256</v>
      </c>
      <c r="AR64" s="5" t="b">
        <v>1</v>
      </c>
      <c r="AS64" s="5">
        <v>1</v>
      </c>
      <c r="AT64" s="5">
        <v>3</v>
      </c>
      <c r="AU64" s="5">
        <v>0.1</v>
      </c>
      <c r="AV64" s="5">
        <v>0.1</v>
      </c>
      <c r="AW64" s="5" t="b">
        <v>0</v>
      </c>
      <c r="AX64" s="5">
        <v>32</v>
      </c>
      <c r="AY64" s="5">
        <v>1234</v>
      </c>
      <c r="AZ64" s="5">
        <v>1</v>
      </c>
      <c r="BA64" s="5">
        <v>16</v>
      </c>
      <c r="BB64" s="5" t="s">
        <v>189</v>
      </c>
      <c r="BC64" s="5" t="s">
        <v>151</v>
      </c>
      <c r="BD64" s="5">
        <v>10</v>
      </c>
      <c r="BE64" s="5" t="b">
        <v>0</v>
      </c>
      <c r="BF64" s="5" t="s">
        <v>152</v>
      </c>
      <c r="BG64" s="5" t="s">
        <v>745</v>
      </c>
      <c r="BH64" s="5">
        <v>0</v>
      </c>
      <c r="BI64" s="5" t="s">
        <v>154</v>
      </c>
      <c r="BJ64" s="5">
        <v>2</v>
      </c>
      <c r="BK64" s="5"/>
      <c r="BL64" s="5" t="b">
        <v>0</v>
      </c>
      <c r="BM64" s="5">
        <v>0</v>
      </c>
      <c r="BN64" s="5">
        <v>0</v>
      </c>
      <c r="BO64" s="5" t="s">
        <v>155</v>
      </c>
      <c r="BP64" s="5">
        <v>128</v>
      </c>
      <c r="BQ64" s="5" t="s">
        <v>156</v>
      </c>
      <c r="BR64" s="5">
        <v>2</v>
      </c>
      <c r="BS64" s="5" t="s">
        <v>157</v>
      </c>
      <c r="BT64" s="5">
        <v>0</v>
      </c>
      <c r="BU64" s="5">
        <v>96</v>
      </c>
      <c r="BV64" s="5" t="b">
        <v>0</v>
      </c>
      <c r="BW64" s="5">
        <v>1000</v>
      </c>
      <c r="BX64" s="5">
        <v>0.3</v>
      </c>
      <c r="BY64" s="5" t="b">
        <v>0</v>
      </c>
      <c r="BZ64" s="5" t="s">
        <v>746</v>
      </c>
      <c r="CA64" s="5" t="s">
        <v>15</v>
      </c>
      <c r="CB64" s="5" t="s">
        <v>747</v>
      </c>
      <c r="CC64" s="5" t="s">
        <v>160</v>
      </c>
      <c r="CD64" s="5">
        <v>62</v>
      </c>
      <c r="CE64" s="5">
        <v>32</v>
      </c>
      <c r="CF64" s="5" t="b">
        <v>0</v>
      </c>
      <c r="CG64" s="5" t="s">
        <v>161</v>
      </c>
      <c r="CH64" s="5">
        <v>48</v>
      </c>
      <c r="CI64" s="5">
        <v>1</v>
      </c>
      <c r="CJ64" s="5">
        <v>0.25</v>
      </c>
      <c r="CK64" s="5">
        <v>7</v>
      </c>
      <c r="CL64" s="5" t="s">
        <v>748</v>
      </c>
      <c r="CM64" s="5">
        <v>7</v>
      </c>
      <c r="CN64" s="5" t="s">
        <v>163</v>
      </c>
      <c r="CO64" s="5">
        <v>0</v>
      </c>
      <c r="CP64" s="5" t="s">
        <v>194</v>
      </c>
      <c r="CQ64" s="5" t="s">
        <v>164</v>
      </c>
      <c r="CR64" s="5" t="s">
        <v>745</v>
      </c>
      <c r="CS64" s="5">
        <v>144</v>
      </c>
      <c r="CT64" s="5" t="b">
        <v>0</v>
      </c>
      <c r="CU64" s="5" t="s">
        <v>165</v>
      </c>
      <c r="CV64" s="5" t="b">
        <v>1</v>
      </c>
      <c r="CW64" s="5" t="b">
        <v>0</v>
      </c>
      <c r="CX64" s="5">
        <v>1</v>
      </c>
      <c r="CY64" s="5">
        <v>2</v>
      </c>
      <c r="CZ64" s="5" t="b">
        <v>0</v>
      </c>
      <c r="DA64" s="5" t="b">
        <v>0</v>
      </c>
      <c r="DB64" s="5" t="b">
        <v>0</v>
      </c>
      <c r="DC64" s="5" t="s">
        <v>166</v>
      </c>
      <c r="DD64" s="5" t="s">
        <v>167</v>
      </c>
      <c r="DE64" s="5" t="s">
        <v>168</v>
      </c>
      <c r="DF64" s="5">
        <v>0.5</v>
      </c>
      <c r="DG64" s="5">
        <v>10</v>
      </c>
      <c r="DH64" s="5">
        <v>0.3</v>
      </c>
      <c r="DI64" s="5">
        <v>1</v>
      </c>
      <c r="DJ64" s="5">
        <v>1</v>
      </c>
      <c r="DK64" s="5" t="s">
        <v>169</v>
      </c>
      <c r="DL64" s="5" t="b">
        <v>0</v>
      </c>
      <c r="DM64" s="5">
        <v>32</v>
      </c>
      <c r="DN64" s="5">
        <v>1</v>
      </c>
      <c r="DO64" s="5" t="s">
        <v>170</v>
      </c>
      <c r="DP64" s="5" t="s">
        <v>747</v>
      </c>
      <c r="DQ64" s="5" t="s">
        <v>171</v>
      </c>
      <c r="DR64" s="5" t="s">
        <v>172</v>
      </c>
      <c r="DS64" s="7" t="str">
        <f>_xlfn.XLOOKUP(CP64,datasetmap!B:B,datasetmap!A:A)</f>
        <v>FD</v>
      </c>
      <c r="DT64" s="8">
        <f t="shared" si="0"/>
        <v>600.36032</v>
      </c>
    </row>
    <row r="65" ht="17.6" spans="1:124">
      <c r="A65" s="5" t="s">
        <v>749</v>
      </c>
      <c r="B65" s="5">
        <v>32</v>
      </c>
      <c r="C65" s="5" t="s">
        <v>141</v>
      </c>
      <c r="D65" s="5" t="s">
        <v>750</v>
      </c>
      <c r="E65" s="5" t="s">
        <v>751</v>
      </c>
      <c r="F65" s="5" t="s">
        <v>752</v>
      </c>
      <c r="G65" s="6">
        <v>1.77898841269263e+18</v>
      </c>
      <c r="H65" s="5">
        <v>0.561118656624274</v>
      </c>
      <c r="I65" s="5">
        <v>0.561097564739652</v>
      </c>
      <c r="J65" s="5">
        <v>5.330971113</v>
      </c>
      <c r="K65" s="5">
        <v>0.561118656624274</v>
      </c>
      <c r="L65" s="6">
        <v>1.77898841269247e+18</v>
      </c>
      <c r="M65" s="5">
        <v>0.561111111111111</v>
      </c>
      <c r="N65" s="6">
        <v>1.77898842391893e+18</v>
      </c>
      <c r="O65" s="6">
        <v>1.77898811260418e+18</v>
      </c>
      <c r="P65" s="5">
        <v>273.777449024</v>
      </c>
      <c r="Q65" s="5">
        <v>0.25</v>
      </c>
      <c r="R65" s="5">
        <v>6</v>
      </c>
      <c r="S65" s="5" t="s">
        <v>145</v>
      </c>
      <c r="T65" s="5" t="s">
        <v>146</v>
      </c>
      <c r="U65" s="5" t="b">
        <v>0</v>
      </c>
      <c r="V65" s="5">
        <v>25</v>
      </c>
      <c r="W65" s="5">
        <v>0</v>
      </c>
      <c r="X65" s="5">
        <v>10</v>
      </c>
      <c r="Y65" s="5">
        <v>8</v>
      </c>
      <c r="Z65" s="5" t="b">
        <v>0</v>
      </c>
      <c r="AA65" s="5">
        <v>4</v>
      </c>
      <c r="AB65" s="5" t="b">
        <v>0</v>
      </c>
      <c r="AC65" s="5" t="b">
        <v>0</v>
      </c>
      <c r="AD65" s="5" t="s">
        <v>147</v>
      </c>
      <c r="AE65" s="5" t="s">
        <v>753</v>
      </c>
      <c r="AF65" s="5">
        <v>1</v>
      </c>
      <c r="AG65" s="5" t="b">
        <v>0</v>
      </c>
      <c r="AH65" s="5" t="b">
        <v>0</v>
      </c>
      <c r="AI65" s="5" t="s">
        <v>149</v>
      </c>
      <c r="AJ65" s="5">
        <v>3</v>
      </c>
      <c r="AK65" s="5" t="b">
        <v>0</v>
      </c>
      <c r="AL65" s="5">
        <v>2</v>
      </c>
      <c r="AM65" s="5">
        <v>0</v>
      </c>
      <c r="AN65" s="5">
        <v>0</v>
      </c>
      <c r="AO65" s="5" t="b">
        <v>0</v>
      </c>
      <c r="AP65" s="5">
        <v>0.001</v>
      </c>
      <c r="AQ65" s="5">
        <v>256</v>
      </c>
      <c r="AR65" s="5" t="b">
        <v>1</v>
      </c>
      <c r="AS65" s="5">
        <v>1</v>
      </c>
      <c r="AT65" s="5">
        <v>3</v>
      </c>
      <c r="AU65" s="5">
        <v>0.1</v>
      </c>
      <c r="AV65" s="5">
        <v>0.1</v>
      </c>
      <c r="AW65" s="5" t="b">
        <v>0</v>
      </c>
      <c r="AX65" s="5">
        <v>32</v>
      </c>
      <c r="AY65" s="5">
        <v>1234</v>
      </c>
      <c r="AZ65" s="5">
        <v>1</v>
      </c>
      <c r="BA65" s="5">
        <v>16</v>
      </c>
      <c r="BB65" s="5" t="s">
        <v>200</v>
      </c>
      <c r="BC65" s="5" t="s">
        <v>151</v>
      </c>
      <c r="BD65" s="5">
        <v>10</v>
      </c>
      <c r="BE65" s="5" t="b">
        <v>0</v>
      </c>
      <c r="BF65" s="5" t="s">
        <v>152</v>
      </c>
      <c r="BG65" s="5" t="s">
        <v>754</v>
      </c>
      <c r="BH65" s="5">
        <v>0</v>
      </c>
      <c r="BI65" s="5" t="s">
        <v>154</v>
      </c>
      <c r="BJ65" s="5">
        <v>2</v>
      </c>
      <c r="BK65" s="5"/>
      <c r="BL65" s="5" t="b">
        <v>0</v>
      </c>
      <c r="BM65" s="5">
        <v>0</v>
      </c>
      <c r="BN65" s="5">
        <v>0</v>
      </c>
      <c r="BO65" s="5" t="s">
        <v>155</v>
      </c>
      <c r="BP65" s="5">
        <v>128</v>
      </c>
      <c r="BQ65" s="5" t="s">
        <v>156</v>
      </c>
      <c r="BR65" s="5">
        <v>2</v>
      </c>
      <c r="BS65" s="5" t="s">
        <v>157</v>
      </c>
      <c r="BT65" s="5">
        <v>0</v>
      </c>
      <c r="BU65" s="5">
        <v>96</v>
      </c>
      <c r="BV65" s="5" t="b">
        <v>0</v>
      </c>
      <c r="BW65" s="5">
        <v>1000</v>
      </c>
      <c r="BX65" s="5">
        <v>0.3</v>
      </c>
      <c r="BY65" s="5" t="b">
        <v>0</v>
      </c>
      <c r="BZ65" s="5" t="s">
        <v>755</v>
      </c>
      <c r="CA65" s="5" t="s">
        <v>15</v>
      </c>
      <c r="CB65" s="5" t="s">
        <v>756</v>
      </c>
      <c r="CC65" s="5" t="s">
        <v>160</v>
      </c>
      <c r="CD65" s="5">
        <v>1152</v>
      </c>
      <c r="CE65" s="5">
        <v>32</v>
      </c>
      <c r="CF65" s="5" t="b">
        <v>0</v>
      </c>
      <c r="CG65" s="5" t="s">
        <v>161</v>
      </c>
      <c r="CH65" s="5">
        <v>48</v>
      </c>
      <c r="CI65" s="5">
        <v>1</v>
      </c>
      <c r="CJ65" s="5">
        <v>0.25</v>
      </c>
      <c r="CK65" s="5">
        <v>7</v>
      </c>
      <c r="CL65" s="5" t="s">
        <v>757</v>
      </c>
      <c r="CM65" s="5">
        <v>7</v>
      </c>
      <c r="CN65" s="5" t="s">
        <v>163</v>
      </c>
      <c r="CO65" s="5">
        <v>0</v>
      </c>
      <c r="CP65" s="5" t="s">
        <v>205</v>
      </c>
      <c r="CQ65" s="5" t="s">
        <v>164</v>
      </c>
      <c r="CR65" s="5" t="s">
        <v>754</v>
      </c>
      <c r="CS65" s="5">
        <v>7</v>
      </c>
      <c r="CT65" s="5" t="b">
        <v>0</v>
      </c>
      <c r="CU65" s="5" t="s">
        <v>165</v>
      </c>
      <c r="CV65" s="5" t="b">
        <v>1</v>
      </c>
      <c r="CW65" s="5" t="b">
        <v>0</v>
      </c>
      <c r="CX65" s="5">
        <v>1</v>
      </c>
      <c r="CY65" s="5">
        <v>2</v>
      </c>
      <c r="CZ65" s="5" t="b">
        <v>0</v>
      </c>
      <c r="DA65" s="5" t="b">
        <v>0</v>
      </c>
      <c r="DB65" s="5" t="b">
        <v>0</v>
      </c>
      <c r="DC65" s="5" t="s">
        <v>166</v>
      </c>
      <c r="DD65" s="5" t="s">
        <v>167</v>
      </c>
      <c r="DE65" s="5" t="s">
        <v>168</v>
      </c>
      <c r="DF65" s="5">
        <v>0.5</v>
      </c>
      <c r="DG65" s="5">
        <v>10</v>
      </c>
      <c r="DH65" s="5">
        <v>0.3</v>
      </c>
      <c r="DI65" s="5">
        <v>1</v>
      </c>
      <c r="DJ65" s="5">
        <v>1</v>
      </c>
      <c r="DK65" s="5" t="s">
        <v>169</v>
      </c>
      <c r="DL65" s="5" t="b">
        <v>0</v>
      </c>
      <c r="DM65" s="5">
        <v>32</v>
      </c>
      <c r="DN65" s="5">
        <v>1</v>
      </c>
      <c r="DO65" s="5" t="s">
        <v>170</v>
      </c>
      <c r="DP65" s="5" t="s">
        <v>756</v>
      </c>
      <c r="DQ65" s="5" t="s">
        <v>171</v>
      </c>
      <c r="DR65" s="5" t="s">
        <v>172</v>
      </c>
      <c r="DS65" s="7" t="str">
        <f>_xlfn.XLOOKUP(CP65,datasetmap!B:B,datasetmap!A:A)</f>
        <v>SRS2</v>
      </c>
      <c r="DT65" s="8">
        <f t="shared" si="0"/>
        <v>11.226299904</v>
      </c>
    </row>
    <row r="66" ht="17.6" spans="1:124">
      <c r="A66" s="5" t="s">
        <v>758</v>
      </c>
      <c r="B66" s="5">
        <v>32</v>
      </c>
      <c r="C66" s="5" t="s">
        <v>141</v>
      </c>
      <c r="D66" s="5" t="s">
        <v>759</v>
      </c>
      <c r="E66" s="5" t="s">
        <v>760</v>
      </c>
      <c r="F66" s="5" t="s">
        <v>761</v>
      </c>
      <c r="G66" s="6">
        <v>1.77898798789761e+18</v>
      </c>
      <c r="H66" s="5">
        <v>0.917006123503725</v>
      </c>
      <c r="I66" s="5">
        <v>0.914544354364214</v>
      </c>
      <c r="J66" s="5">
        <v>7.803242809</v>
      </c>
      <c r="K66" s="5">
        <v>0.917006123503725</v>
      </c>
      <c r="L66" s="6">
        <v>1.77898798789752e+18</v>
      </c>
      <c r="M66" s="5">
        <v>0.914675767918088</v>
      </c>
      <c r="N66" s="6">
        <v>1.77898800498904e+18</v>
      </c>
      <c r="O66" s="6">
        <v>1.77898728958126e+18</v>
      </c>
      <c r="P66" s="5">
        <v>668.687087568</v>
      </c>
      <c r="Q66" s="5">
        <v>0.25</v>
      </c>
      <c r="R66" s="5">
        <v>6</v>
      </c>
      <c r="S66" s="5" t="s">
        <v>145</v>
      </c>
      <c r="T66" s="5" t="s">
        <v>146</v>
      </c>
      <c r="U66" s="5" t="b">
        <v>0</v>
      </c>
      <c r="V66" s="5">
        <v>25</v>
      </c>
      <c r="W66" s="5">
        <v>0</v>
      </c>
      <c r="X66" s="5">
        <v>10</v>
      </c>
      <c r="Y66" s="5">
        <v>8</v>
      </c>
      <c r="Z66" s="5" t="b">
        <v>0</v>
      </c>
      <c r="AA66" s="5">
        <v>4</v>
      </c>
      <c r="AB66" s="5" t="b">
        <v>0</v>
      </c>
      <c r="AC66" s="5" t="b">
        <v>0</v>
      </c>
      <c r="AD66" s="5" t="s">
        <v>147</v>
      </c>
      <c r="AE66" s="5" t="s">
        <v>762</v>
      </c>
      <c r="AF66" s="5">
        <v>1</v>
      </c>
      <c r="AG66" s="5" t="b">
        <v>0</v>
      </c>
      <c r="AH66" s="5" t="b">
        <v>0</v>
      </c>
      <c r="AI66" s="5" t="s">
        <v>149</v>
      </c>
      <c r="AJ66" s="5">
        <v>3</v>
      </c>
      <c r="AK66" s="5" t="b">
        <v>0</v>
      </c>
      <c r="AL66" s="5">
        <v>2</v>
      </c>
      <c r="AM66" s="5">
        <v>0</v>
      </c>
      <c r="AN66" s="5">
        <v>0</v>
      </c>
      <c r="AO66" s="5" t="b">
        <v>0</v>
      </c>
      <c r="AP66" s="5">
        <v>0.001</v>
      </c>
      <c r="AQ66" s="5">
        <v>256</v>
      </c>
      <c r="AR66" s="5" t="b">
        <v>1</v>
      </c>
      <c r="AS66" s="5">
        <v>1</v>
      </c>
      <c r="AT66" s="5">
        <v>3</v>
      </c>
      <c r="AU66" s="5">
        <v>0.1</v>
      </c>
      <c r="AV66" s="5">
        <v>0.1</v>
      </c>
      <c r="AW66" s="5" t="b">
        <v>0</v>
      </c>
      <c r="AX66" s="5">
        <v>32</v>
      </c>
      <c r="AY66" s="5">
        <v>1234</v>
      </c>
      <c r="AZ66" s="5">
        <v>1</v>
      </c>
      <c r="BA66" s="5">
        <v>16</v>
      </c>
      <c r="BB66" s="5" t="s">
        <v>211</v>
      </c>
      <c r="BC66" s="5" t="s">
        <v>151</v>
      </c>
      <c r="BD66" s="5">
        <v>10</v>
      </c>
      <c r="BE66" s="5" t="b">
        <v>0</v>
      </c>
      <c r="BF66" s="5" t="s">
        <v>152</v>
      </c>
      <c r="BG66" s="5" t="s">
        <v>763</v>
      </c>
      <c r="BH66" s="5">
        <v>0</v>
      </c>
      <c r="BI66" s="5" t="s">
        <v>154</v>
      </c>
      <c r="BJ66" s="5">
        <v>2</v>
      </c>
      <c r="BK66" s="5"/>
      <c r="BL66" s="5" t="b">
        <v>0</v>
      </c>
      <c r="BM66" s="5">
        <v>0</v>
      </c>
      <c r="BN66" s="5">
        <v>0</v>
      </c>
      <c r="BO66" s="5" t="s">
        <v>155</v>
      </c>
      <c r="BP66" s="5">
        <v>128</v>
      </c>
      <c r="BQ66" s="5" t="s">
        <v>156</v>
      </c>
      <c r="BR66" s="5">
        <v>2</v>
      </c>
      <c r="BS66" s="5" t="s">
        <v>157</v>
      </c>
      <c r="BT66" s="5">
        <v>0</v>
      </c>
      <c r="BU66" s="5">
        <v>96</v>
      </c>
      <c r="BV66" s="5" t="b">
        <v>0</v>
      </c>
      <c r="BW66" s="5">
        <v>1000</v>
      </c>
      <c r="BX66" s="5">
        <v>0.3</v>
      </c>
      <c r="BY66" s="5" t="b">
        <v>0</v>
      </c>
      <c r="BZ66" s="5" t="s">
        <v>764</v>
      </c>
      <c r="CA66" s="5" t="s">
        <v>15</v>
      </c>
      <c r="CB66" s="5" t="s">
        <v>765</v>
      </c>
      <c r="CC66" s="5" t="s">
        <v>160</v>
      </c>
      <c r="CD66" s="5">
        <v>896</v>
      </c>
      <c r="CE66" s="5">
        <v>32</v>
      </c>
      <c r="CF66" s="5" t="b">
        <v>0</v>
      </c>
      <c r="CG66" s="5" t="s">
        <v>161</v>
      </c>
      <c r="CH66" s="5">
        <v>48</v>
      </c>
      <c r="CI66" s="5">
        <v>1</v>
      </c>
      <c r="CJ66" s="5">
        <v>0.25</v>
      </c>
      <c r="CK66" s="5">
        <v>7</v>
      </c>
      <c r="CL66" s="5" t="s">
        <v>766</v>
      </c>
      <c r="CM66" s="5">
        <v>7</v>
      </c>
      <c r="CN66" s="5" t="s">
        <v>163</v>
      </c>
      <c r="CO66" s="5">
        <v>0</v>
      </c>
      <c r="CP66" s="5" t="s">
        <v>216</v>
      </c>
      <c r="CQ66" s="5" t="s">
        <v>164</v>
      </c>
      <c r="CR66" s="5" t="s">
        <v>763</v>
      </c>
      <c r="CS66" s="5">
        <v>6</v>
      </c>
      <c r="CT66" s="5" t="b">
        <v>0</v>
      </c>
      <c r="CU66" s="5" t="s">
        <v>165</v>
      </c>
      <c r="CV66" s="5" t="b">
        <v>1</v>
      </c>
      <c r="CW66" s="5" t="b">
        <v>0</v>
      </c>
      <c r="CX66" s="5">
        <v>1</v>
      </c>
      <c r="CY66" s="5">
        <v>2</v>
      </c>
      <c r="CZ66" s="5" t="b">
        <v>0</v>
      </c>
      <c r="DA66" s="5" t="b">
        <v>0</v>
      </c>
      <c r="DB66" s="5" t="b">
        <v>0</v>
      </c>
      <c r="DC66" s="5" t="s">
        <v>166</v>
      </c>
      <c r="DD66" s="5" t="s">
        <v>167</v>
      </c>
      <c r="DE66" s="5" t="s">
        <v>168</v>
      </c>
      <c r="DF66" s="5">
        <v>0.5</v>
      </c>
      <c r="DG66" s="5">
        <v>10</v>
      </c>
      <c r="DH66" s="5">
        <v>0.3</v>
      </c>
      <c r="DI66" s="5">
        <v>1</v>
      </c>
      <c r="DJ66" s="5">
        <v>1</v>
      </c>
      <c r="DK66" s="5" t="s">
        <v>169</v>
      </c>
      <c r="DL66" s="5" t="b">
        <v>0</v>
      </c>
      <c r="DM66" s="5">
        <v>32</v>
      </c>
      <c r="DN66" s="5">
        <v>1</v>
      </c>
      <c r="DO66" s="5" t="s">
        <v>170</v>
      </c>
      <c r="DP66" s="5" t="s">
        <v>765</v>
      </c>
      <c r="DQ66" s="5" t="s">
        <v>171</v>
      </c>
      <c r="DR66" s="5" t="s">
        <v>172</v>
      </c>
      <c r="DS66" s="7" t="str">
        <f>_xlfn.XLOOKUP(CP66,datasetmap!B:B,datasetmap!A:A)</f>
        <v>SRS1</v>
      </c>
      <c r="DT66" s="8">
        <f t="shared" si="0"/>
        <v>17.091430144</v>
      </c>
    </row>
    <row r="67" ht="17.6" spans="1:124">
      <c r="A67" s="5" t="s">
        <v>767</v>
      </c>
      <c r="B67" s="5">
        <v>32</v>
      </c>
      <c r="C67" s="5" t="s">
        <v>141</v>
      </c>
      <c r="D67" s="5" t="s">
        <v>768</v>
      </c>
      <c r="E67" s="5" t="s">
        <v>769</v>
      </c>
      <c r="F67" s="5" t="s">
        <v>770</v>
      </c>
      <c r="G67" s="6">
        <v>1.77898718689531e+18</v>
      </c>
      <c r="H67" s="5">
        <v>0.968724282912756</v>
      </c>
      <c r="I67" s="5">
        <v>0.967659406770211</v>
      </c>
      <c r="J67" s="5">
        <v>6.205697328</v>
      </c>
      <c r="K67" s="5">
        <v>0.968724282912756</v>
      </c>
      <c r="L67" s="6">
        <v>1.77898718689521e+18</v>
      </c>
      <c r="M67" s="5">
        <v>0.967567567567567</v>
      </c>
      <c r="N67" s="6">
        <v>1.77898719728872e+18</v>
      </c>
      <c r="O67" s="6">
        <v>1.77898671972394e+18</v>
      </c>
      <c r="P67" s="5">
        <v>463.399413291</v>
      </c>
      <c r="Q67" s="5">
        <v>0.25</v>
      </c>
      <c r="R67" s="5">
        <v>6</v>
      </c>
      <c r="S67" s="5" t="s">
        <v>145</v>
      </c>
      <c r="T67" s="5" t="s">
        <v>146</v>
      </c>
      <c r="U67" s="5" t="b">
        <v>0</v>
      </c>
      <c r="V67" s="5">
        <v>25</v>
      </c>
      <c r="W67" s="5">
        <v>0</v>
      </c>
      <c r="X67" s="5">
        <v>10</v>
      </c>
      <c r="Y67" s="5">
        <v>8</v>
      </c>
      <c r="Z67" s="5" t="b">
        <v>0</v>
      </c>
      <c r="AA67" s="5">
        <v>4</v>
      </c>
      <c r="AB67" s="5" t="b">
        <v>0</v>
      </c>
      <c r="AC67" s="5" t="b">
        <v>0</v>
      </c>
      <c r="AD67" s="5" t="s">
        <v>147</v>
      </c>
      <c r="AE67" s="5" t="s">
        <v>771</v>
      </c>
      <c r="AF67" s="5">
        <v>1</v>
      </c>
      <c r="AG67" s="5" t="b">
        <v>0</v>
      </c>
      <c r="AH67" s="5" t="b">
        <v>0</v>
      </c>
      <c r="AI67" s="5" t="s">
        <v>149</v>
      </c>
      <c r="AJ67" s="5">
        <v>3</v>
      </c>
      <c r="AK67" s="5" t="b">
        <v>0</v>
      </c>
      <c r="AL67" s="5">
        <v>9</v>
      </c>
      <c r="AM67" s="5">
        <v>0</v>
      </c>
      <c r="AN67" s="5">
        <v>0</v>
      </c>
      <c r="AO67" s="5" t="b">
        <v>0</v>
      </c>
      <c r="AP67" s="5">
        <v>0.001</v>
      </c>
      <c r="AQ67" s="5">
        <v>256</v>
      </c>
      <c r="AR67" s="5" t="b">
        <v>1</v>
      </c>
      <c r="AS67" s="5">
        <v>1</v>
      </c>
      <c r="AT67" s="5">
        <v>3</v>
      </c>
      <c r="AU67" s="5">
        <v>0.1</v>
      </c>
      <c r="AV67" s="5">
        <v>0.1</v>
      </c>
      <c r="AW67" s="5" t="b">
        <v>0</v>
      </c>
      <c r="AX67" s="5">
        <v>32</v>
      </c>
      <c r="AY67" s="5">
        <v>1234</v>
      </c>
      <c r="AZ67" s="5">
        <v>1</v>
      </c>
      <c r="BA67" s="5">
        <v>16</v>
      </c>
      <c r="BB67" s="5" t="s">
        <v>222</v>
      </c>
      <c r="BC67" s="5" t="s">
        <v>151</v>
      </c>
      <c r="BD67" s="5">
        <v>10</v>
      </c>
      <c r="BE67" s="5" t="b">
        <v>0</v>
      </c>
      <c r="BF67" s="5" t="s">
        <v>152</v>
      </c>
      <c r="BG67" s="5" t="s">
        <v>772</v>
      </c>
      <c r="BH67" s="5">
        <v>0</v>
      </c>
      <c r="BI67" s="5" t="s">
        <v>154</v>
      </c>
      <c r="BJ67" s="5">
        <v>2</v>
      </c>
      <c r="BK67" s="5"/>
      <c r="BL67" s="5" t="b">
        <v>0</v>
      </c>
      <c r="BM67" s="5">
        <v>0</v>
      </c>
      <c r="BN67" s="5">
        <v>0</v>
      </c>
      <c r="BO67" s="5" t="s">
        <v>155</v>
      </c>
      <c r="BP67" s="5">
        <v>128</v>
      </c>
      <c r="BQ67" s="5" t="s">
        <v>156</v>
      </c>
      <c r="BR67" s="5">
        <v>2</v>
      </c>
      <c r="BS67" s="5" t="s">
        <v>157</v>
      </c>
      <c r="BT67" s="5">
        <v>0</v>
      </c>
      <c r="BU67" s="5">
        <v>96</v>
      </c>
      <c r="BV67" s="5" t="b">
        <v>0</v>
      </c>
      <c r="BW67" s="5">
        <v>1000</v>
      </c>
      <c r="BX67" s="5">
        <v>0.3</v>
      </c>
      <c r="BY67" s="5" t="b">
        <v>0</v>
      </c>
      <c r="BZ67" s="5" t="s">
        <v>773</v>
      </c>
      <c r="CA67" s="5" t="s">
        <v>15</v>
      </c>
      <c r="CB67" s="5" t="s">
        <v>774</v>
      </c>
      <c r="CC67" s="5" t="s">
        <v>160</v>
      </c>
      <c r="CD67" s="5">
        <v>29</v>
      </c>
      <c r="CE67" s="5">
        <v>32</v>
      </c>
      <c r="CF67" s="5" t="b">
        <v>0</v>
      </c>
      <c r="CG67" s="5" t="s">
        <v>161</v>
      </c>
      <c r="CH67" s="5">
        <v>48</v>
      </c>
      <c r="CI67" s="5">
        <v>1</v>
      </c>
      <c r="CJ67" s="5">
        <v>0.25</v>
      </c>
      <c r="CK67" s="5">
        <v>7</v>
      </c>
      <c r="CL67" s="5" t="s">
        <v>775</v>
      </c>
      <c r="CM67" s="5">
        <v>7</v>
      </c>
      <c r="CN67" s="5" t="s">
        <v>163</v>
      </c>
      <c r="CO67" s="5">
        <v>0</v>
      </c>
      <c r="CP67" s="5" t="s">
        <v>227</v>
      </c>
      <c r="CQ67" s="5" t="s">
        <v>164</v>
      </c>
      <c r="CR67" s="5" t="s">
        <v>772</v>
      </c>
      <c r="CS67" s="5">
        <v>12</v>
      </c>
      <c r="CT67" s="5" t="b">
        <v>0</v>
      </c>
      <c r="CU67" s="5" t="s">
        <v>165</v>
      </c>
      <c r="CV67" s="5" t="b">
        <v>1</v>
      </c>
      <c r="CW67" s="5" t="b">
        <v>0</v>
      </c>
      <c r="CX67" s="5">
        <v>1</v>
      </c>
      <c r="CY67" s="5">
        <v>2</v>
      </c>
      <c r="CZ67" s="5" t="b">
        <v>0</v>
      </c>
      <c r="DA67" s="5" t="b">
        <v>0</v>
      </c>
      <c r="DB67" s="5" t="b">
        <v>0</v>
      </c>
      <c r="DC67" s="5" t="s">
        <v>166</v>
      </c>
      <c r="DD67" s="5" t="s">
        <v>167</v>
      </c>
      <c r="DE67" s="5" t="s">
        <v>168</v>
      </c>
      <c r="DF67" s="5">
        <v>0.5</v>
      </c>
      <c r="DG67" s="5">
        <v>10</v>
      </c>
      <c r="DH67" s="5">
        <v>0.3</v>
      </c>
      <c r="DI67" s="5">
        <v>1</v>
      </c>
      <c r="DJ67" s="5">
        <v>1</v>
      </c>
      <c r="DK67" s="5" t="s">
        <v>169</v>
      </c>
      <c r="DL67" s="5" t="b">
        <v>0</v>
      </c>
      <c r="DM67" s="5">
        <v>32</v>
      </c>
      <c r="DN67" s="5">
        <v>1</v>
      </c>
      <c r="DO67" s="5" t="s">
        <v>170</v>
      </c>
      <c r="DP67" s="5" t="s">
        <v>774</v>
      </c>
      <c r="DQ67" s="5" t="s">
        <v>171</v>
      </c>
      <c r="DR67" s="5" t="s">
        <v>172</v>
      </c>
      <c r="DS67" s="7" t="str">
        <f>_xlfn.XLOOKUP(CP67,datasetmap!B:B,datasetmap!A:A)</f>
        <v>JV</v>
      </c>
      <c r="DT67" s="8">
        <f t="shared" ref="DT67:DT130" si="1">(N67-G67)/1000000000</f>
        <v>10.393409792</v>
      </c>
    </row>
    <row r="68" ht="17.6" spans="1:124">
      <c r="A68" s="5" t="s">
        <v>776</v>
      </c>
      <c r="B68" s="5">
        <v>32</v>
      </c>
      <c r="C68" s="5" t="s">
        <v>141</v>
      </c>
      <c r="D68" s="5" t="s">
        <v>777</v>
      </c>
      <c r="E68" s="5" t="s">
        <v>778</v>
      </c>
      <c r="F68" s="5" t="s">
        <v>779</v>
      </c>
      <c r="G68" s="6">
        <v>1.77898668569221e+18</v>
      </c>
      <c r="H68" s="5">
        <v>0.709915949053782</v>
      </c>
      <c r="I68" s="5">
        <v>0.711341463414634</v>
      </c>
      <c r="J68" s="5">
        <v>2.879069697</v>
      </c>
      <c r="K68" s="5">
        <v>0.709915949053782</v>
      </c>
      <c r="L68" s="6">
        <v>1.77898668569216e+18</v>
      </c>
      <c r="M68" s="5">
        <v>0.736585365853658</v>
      </c>
      <c r="N68" s="6">
        <v>1.77898669164562e+18</v>
      </c>
      <c r="O68" s="6">
        <v>1.77898631870657e+18</v>
      </c>
      <c r="P68" s="5">
        <v>357.762846263</v>
      </c>
      <c r="Q68" s="5">
        <v>0.25</v>
      </c>
      <c r="R68" s="5">
        <v>6</v>
      </c>
      <c r="S68" s="5" t="s">
        <v>145</v>
      </c>
      <c r="T68" s="5" t="s">
        <v>146</v>
      </c>
      <c r="U68" s="5" t="b">
        <v>0</v>
      </c>
      <c r="V68" s="5">
        <v>25</v>
      </c>
      <c r="W68" s="5">
        <v>0</v>
      </c>
      <c r="X68" s="5">
        <v>10</v>
      </c>
      <c r="Y68" s="5">
        <v>8</v>
      </c>
      <c r="Z68" s="5" t="b">
        <v>0</v>
      </c>
      <c r="AA68" s="5">
        <v>4</v>
      </c>
      <c r="AB68" s="5" t="b">
        <v>0</v>
      </c>
      <c r="AC68" s="5" t="b">
        <v>0</v>
      </c>
      <c r="AD68" s="5" t="s">
        <v>147</v>
      </c>
      <c r="AE68" s="5" t="s">
        <v>780</v>
      </c>
      <c r="AF68" s="5">
        <v>1</v>
      </c>
      <c r="AG68" s="5" t="b">
        <v>0</v>
      </c>
      <c r="AH68" s="5" t="b">
        <v>0</v>
      </c>
      <c r="AI68" s="5" t="s">
        <v>149</v>
      </c>
      <c r="AJ68" s="5">
        <v>3</v>
      </c>
      <c r="AK68" s="5" t="b">
        <v>0</v>
      </c>
      <c r="AL68" s="5">
        <v>2</v>
      </c>
      <c r="AM68" s="5">
        <v>0</v>
      </c>
      <c r="AN68" s="5">
        <v>0</v>
      </c>
      <c r="AO68" s="5" t="b">
        <v>0</v>
      </c>
      <c r="AP68" s="5">
        <v>0.001</v>
      </c>
      <c r="AQ68" s="5">
        <v>256</v>
      </c>
      <c r="AR68" s="5" t="b">
        <v>1</v>
      </c>
      <c r="AS68" s="5">
        <v>1</v>
      </c>
      <c r="AT68" s="5">
        <v>3</v>
      </c>
      <c r="AU68" s="5">
        <v>0.1</v>
      </c>
      <c r="AV68" s="5">
        <v>0.1</v>
      </c>
      <c r="AW68" s="5" t="b">
        <v>0</v>
      </c>
      <c r="AX68" s="5">
        <v>32</v>
      </c>
      <c r="AY68" s="5">
        <v>1234</v>
      </c>
      <c r="AZ68" s="5">
        <v>1</v>
      </c>
      <c r="BA68" s="5">
        <v>16</v>
      </c>
      <c r="BB68" s="5" t="s">
        <v>233</v>
      </c>
      <c r="BC68" s="5" t="s">
        <v>151</v>
      </c>
      <c r="BD68" s="5">
        <v>10</v>
      </c>
      <c r="BE68" s="5" t="b">
        <v>0</v>
      </c>
      <c r="BF68" s="5" t="s">
        <v>152</v>
      </c>
      <c r="BG68" s="5" t="s">
        <v>781</v>
      </c>
      <c r="BH68" s="5">
        <v>0</v>
      </c>
      <c r="BI68" s="5" t="s">
        <v>154</v>
      </c>
      <c r="BJ68" s="5">
        <v>2</v>
      </c>
      <c r="BK68" s="5"/>
      <c r="BL68" s="5" t="b">
        <v>0</v>
      </c>
      <c r="BM68" s="5">
        <v>0</v>
      </c>
      <c r="BN68" s="5">
        <v>0</v>
      </c>
      <c r="BO68" s="5" t="s">
        <v>155</v>
      </c>
      <c r="BP68" s="5">
        <v>128</v>
      </c>
      <c r="BQ68" s="5" t="s">
        <v>156</v>
      </c>
      <c r="BR68" s="5">
        <v>2</v>
      </c>
      <c r="BS68" s="5" t="s">
        <v>157</v>
      </c>
      <c r="BT68" s="5">
        <v>0</v>
      </c>
      <c r="BU68" s="5">
        <v>96</v>
      </c>
      <c r="BV68" s="5" t="b">
        <v>0</v>
      </c>
      <c r="BW68" s="5">
        <v>1000</v>
      </c>
      <c r="BX68" s="5">
        <v>0.3</v>
      </c>
      <c r="BY68" s="5" t="b">
        <v>0</v>
      </c>
      <c r="BZ68" s="5" t="s">
        <v>782</v>
      </c>
      <c r="CA68" s="5" t="s">
        <v>15</v>
      </c>
      <c r="CB68" s="5" t="s">
        <v>783</v>
      </c>
      <c r="CC68" s="5" t="s">
        <v>160</v>
      </c>
      <c r="CD68" s="5">
        <v>405</v>
      </c>
      <c r="CE68" s="5">
        <v>32</v>
      </c>
      <c r="CF68" s="5" t="b">
        <v>0</v>
      </c>
      <c r="CG68" s="5" t="s">
        <v>161</v>
      </c>
      <c r="CH68" s="5">
        <v>48</v>
      </c>
      <c r="CI68" s="5">
        <v>1</v>
      </c>
      <c r="CJ68" s="5">
        <v>0.25</v>
      </c>
      <c r="CK68" s="5">
        <v>7</v>
      </c>
      <c r="CL68" s="5" t="s">
        <v>784</v>
      </c>
      <c r="CM68" s="5">
        <v>7</v>
      </c>
      <c r="CN68" s="5" t="s">
        <v>163</v>
      </c>
      <c r="CO68" s="5">
        <v>0</v>
      </c>
      <c r="CP68" s="5" t="s">
        <v>238</v>
      </c>
      <c r="CQ68" s="5" t="s">
        <v>164</v>
      </c>
      <c r="CR68" s="5" t="s">
        <v>781</v>
      </c>
      <c r="CS68" s="5">
        <v>61</v>
      </c>
      <c r="CT68" s="5" t="b">
        <v>0</v>
      </c>
      <c r="CU68" s="5" t="s">
        <v>165</v>
      </c>
      <c r="CV68" s="5" t="b">
        <v>1</v>
      </c>
      <c r="CW68" s="5" t="b">
        <v>0</v>
      </c>
      <c r="CX68" s="5">
        <v>1</v>
      </c>
      <c r="CY68" s="5">
        <v>2</v>
      </c>
      <c r="CZ68" s="5" t="b">
        <v>0</v>
      </c>
      <c r="DA68" s="5" t="b">
        <v>0</v>
      </c>
      <c r="DB68" s="5" t="b">
        <v>0</v>
      </c>
      <c r="DC68" s="5" t="s">
        <v>166</v>
      </c>
      <c r="DD68" s="5" t="s">
        <v>167</v>
      </c>
      <c r="DE68" s="5" t="s">
        <v>168</v>
      </c>
      <c r="DF68" s="5">
        <v>0.5</v>
      </c>
      <c r="DG68" s="5">
        <v>10</v>
      </c>
      <c r="DH68" s="5">
        <v>0.3</v>
      </c>
      <c r="DI68" s="5">
        <v>1</v>
      </c>
      <c r="DJ68" s="5">
        <v>1</v>
      </c>
      <c r="DK68" s="5" t="s">
        <v>169</v>
      </c>
      <c r="DL68" s="5" t="b">
        <v>0</v>
      </c>
      <c r="DM68" s="5">
        <v>32</v>
      </c>
      <c r="DN68" s="5">
        <v>1</v>
      </c>
      <c r="DO68" s="5" t="s">
        <v>170</v>
      </c>
      <c r="DP68" s="5" t="s">
        <v>783</v>
      </c>
      <c r="DQ68" s="5" t="s">
        <v>171</v>
      </c>
      <c r="DR68" s="5" t="s">
        <v>172</v>
      </c>
      <c r="DS68" s="7" t="str">
        <f>_xlfn.XLOOKUP(CP68,datasetmap!B:B,datasetmap!A:A)</f>
        <v>HB</v>
      </c>
      <c r="DT68" s="8">
        <f t="shared" si="1"/>
        <v>5.953410048</v>
      </c>
    </row>
    <row r="69" ht="17.6" spans="1:124">
      <c r="A69" s="5" t="s">
        <v>785</v>
      </c>
      <c r="B69" s="5">
        <v>32</v>
      </c>
      <c r="C69" s="5" t="s">
        <v>141</v>
      </c>
      <c r="D69" s="5" t="s">
        <v>786</v>
      </c>
      <c r="E69" s="5" t="s">
        <v>787</v>
      </c>
      <c r="F69" s="5" t="s">
        <v>788</v>
      </c>
      <c r="G69" s="6">
        <v>1.77898628199026e+18</v>
      </c>
      <c r="H69" s="5">
        <v>0.351685208474026</v>
      </c>
      <c r="I69" s="5">
        <v>0.292260912833159</v>
      </c>
      <c r="J69" s="5">
        <v>6.952121393</v>
      </c>
      <c r="K69" s="5">
        <v>0.351685208474026</v>
      </c>
      <c r="L69" s="6">
        <v>1.77898628199021e+18</v>
      </c>
      <c r="M69" s="5">
        <v>0.315294117647058</v>
      </c>
      <c r="N69" s="6">
        <v>1.77898628983398e+18</v>
      </c>
      <c r="O69" s="6">
        <v>1.77898568132143e+18</v>
      </c>
      <c r="P69" s="5">
        <v>598.124216965</v>
      </c>
      <c r="Q69" s="5">
        <v>0.25</v>
      </c>
      <c r="R69" s="5">
        <v>6</v>
      </c>
      <c r="S69" s="5" t="s">
        <v>145</v>
      </c>
      <c r="T69" s="5" t="s">
        <v>146</v>
      </c>
      <c r="U69" s="5" t="b">
        <v>0</v>
      </c>
      <c r="V69" s="5">
        <v>25</v>
      </c>
      <c r="W69" s="5">
        <v>0</v>
      </c>
      <c r="X69" s="5">
        <v>10</v>
      </c>
      <c r="Y69" s="5">
        <v>8</v>
      </c>
      <c r="Z69" s="5" t="b">
        <v>0</v>
      </c>
      <c r="AA69" s="5">
        <v>4</v>
      </c>
      <c r="AB69" s="5" t="b">
        <v>0</v>
      </c>
      <c r="AC69" s="5" t="b">
        <v>0</v>
      </c>
      <c r="AD69" s="5" t="s">
        <v>147</v>
      </c>
      <c r="AE69" s="5" t="s">
        <v>789</v>
      </c>
      <c r="AF69" s="5">
        <v>1</v>
      </c>
      <c r="AG69" s="5" t="b">
        <v>0</v>
      </c>
      <c r="AH69" s="5" t="b">
        <v>0</v>
      </c>
      <c r="AI69" s="5" t="s">
        <v>149</v>
      </c>
      <c r="AJ69" s="5">
        <v>3</v>
      </c>
      <c r="AK69" s="5" t="b">
        <v>0</v>
      </c>
      <c r="AL69" s="5">
        <v>26</v>
      </c>
      <c r="AM69" s="5">
        <v>0</v>
      </c>
      <c r="AN69" s="5">
        <v>0</v>
      </c>
      <c r="AO69" s="5" t="b">
        <v>0</v>
      </c>
      <c r="AP69" s="5">
        <v>0.001</v>
      </c>
      <c r="AQ69" s="5">
        <v>256</v>
      </c>
      <c r="AR69" s="5" t="b">
        <v>1</v>
      </c>
      <c r="AS69" s="5">
        <v>1</v>
      </c>
      <c r="AT69" s="5">
        <v>3</v>
      </c>
      <c r="AU69" s="5">
        <v>0.1</v>
      </c>
      <c r="AV69" s="5">
        <v>0.1</v>
      </c>
      <c r="AW69" s="5" t="b">
        <v>0</v>
      </c>
      <c r="AX69" s="5">
        <v>32</v>
      </c>
      <c r="AY69" s="5">
        <v>1234</v>
      </c>
      <c r="AZ69" s="5">
        <v>1</v>
      </c>
      <c r="BA69" s="5">
        <v>16</v>
      </c>
      <c r="BB69" s="5" t="s">
        <v>244</v>
      </c>
      <c r="BC69" s="5" t="s">
        <v>151</v>
      </c>
      <c r="BD69" s="5">
        <v>10</v>
      </c>
      <c r="BE69" s="5" t="b">
        <v>0</v>
      </c>
      <c r="BF69" s="5" t="s">
        <v>152</v>
      </c>
      <c r="BG69" s="5" t="s">
        <v>790</v>
      </c>
      <c r="BH69" s="5">
        <v>0</v>
      </c>
      <c r="BI69" s="5" t="s">
        <v>154</v>
      </c>
      <c r="BJ69" s="5">
        <v>2</v>
      </c>
      <c r="BK69" s="5"/>
      <c r="BL69" s="5" t="b">
        <v>0</v>
      </c>
      <c r="BM69" s="5">
        <v>0</v>
      </c>
      <c r="BN69" s="5">
        <v>0</v>
      </c>
      <c r="BO69" s="5" t="s">
        <v>155</v>
      </c>
      <c r="BP69" s="5">
        <v>128</v>
      </c>
      <c r="BQ69" s="5" t="s">
        <v>156</v>
      </c>
      <c r="BR69" s="5">
        <v>2</v>
      </c>
      <c r="BS69" s="5" t="s">
        <v>157</v>
      </c>
      <c r="BT69" s="5">
        <v>0</v>
      </c>
      <c r="BU69" s="5">
        <v>96</v>
      </c>
      <c r="BV69" s="5" t="b">
        <v>0</v>
      </c>
      <c r="BW69" s="5">
        <v>1000</v>
      </c>
      <c r="BX69" s="5">
        <v>0.3</v>
      </c>
      <c r="BY69" s="5" t="b">
        <v>0</v>
      </c>
      <c r="BZ69" s="5" t="s">
        <v>791</v>
      </c>
      <c r="CA69" s="5" t="s">
        <v>15</v>
      </c>
      <c r="CB69" s="5" t="s">
        <v>792</v>
      </c>
      <c r="CC69" s="5" t="s">
        <v>160</v>
      </c>
      <c r="CD69" s="5">
        <v>152</v>
      </c>
      <c r="CE69" s="5">
        <v>32</v>
      </c>
      <c r="CF69" s="5" t="b">
        <v>0</v>
      </c>
      <c r="CG69" s="5" t="s">
        <v>161</v>
      </c>
      <c r="CH69" s="5">
        <v>48</v>
      </c>
      <c r="CI69" s="5">
        <v>1</v>
      </c>
      <c r="CJ69" s="5">
        <v>0.25</v>
      </c>
      <c r="CK69" s="5">
        <v>7</v>
      </c>
      <c r="CL69" s="5" t="s">
        <v>793</v>
      </c>
      <c r="CM69" s="5">
        <v>7</v>
      </c>
      <c r="CN69" s="5" t="s">
        <v>163</v>
      </c>
      <c r="CO69" s="5">
        <v>0</v>
      </c>
      <c r="CP69" s="5" t="s">
        <v>249</v>
      </c>
      <c r="CQ69" s="5" t="s">
        <v>164</v>
      </c>
      <c r="CR69" s="5" t="s">
        <v>790</v>
      </c>
      <c r="CS69" s="5">
        <v>3</v>
      </c>
      <c r="CT69" s="5" t="b">
        <v>0</v>
      </c>
      <c r="CU69" s="5" t="s">
        <v>165</v>
      </c>
      <c r="CV69" s="5" t="b">
        <v>1</v>
      </c>
      <c r="CW69" s="5" t="b">
        <v>0</v>
      </c>
      <c r="CX69" s="5">
        <v>1</v>
      </c>
      <c r="CY69" s="5">
        <v>2</v>
      </c>
      <c r="CZ69" s="5" t="b">
        <v>0</v>
      </c>
      <c r="DA69" s="5" t="b">
        <v>0</v>
      </c>
      <c r="DB69" s="5" t="b">
        <v>0</v>
      </c>
      <c r="DC69" s="5" t="s">
        <v>166</v>
      </c>
      <c r="DD69" s="5" t="s">
        <v>167</v>
      </c>
      <c r="DE69" s="5" t="s">
        <v>168</v>
      </c>
      <c r="DF69" s="5">
        <v>0.5</v>
      </c>
      <c r="DG69" s="5">
        <v>10</v>
      </c>
      <c r="DH69" s="5">
        <v>0.3</v>
      </c>
      <c r="DI69" s="5">
        <v>1</v>
      </c>
      <c r="DJ69" s="5">
        <v>1</v>
      </c>
      <c r="DK69" s="5" t="s">
        <v>169</v>
      </c>
      <c r="DL69" s="5" t="b">
        <v>0</v>
      </c>
      <c r="DM69" s="5">
        <v>32</v>
      </c>
      <c r="DN69" s="5">
        <v>1</v>
      </c>
      <c r="DO69" s="5" t="s">
        <v>170</v>
      </c>
      <c r="DP69" s="5" t="s">
        <v>792</v>
      </c>
      <c r="DQ69" s="5" t="s">
        <v>171</v>
      </c>
      <c r="DR69" s="5" t="s">
        <v>172</v>
      </c>
      <c r="DS69" s="7" t="str">
        <f>_xlfn.XLOOKUP(CP69,datasetmap!B:B,datasetmap!A:A)</f>
        <v>HW</v>
      </c>
      <c r="DT69" s="8">
        <f t="shared" si="1"/>
        <v>7.843719936</v>
      </c>
    </row>
    <row r="70" ht="17.6" spans="1:124">
      <c r="A70" s="5" t="s">
        <v>794</v>
      </c>
      <c r="B70" s="5">
        <v>32</v>
      </c>
      <c r="C70" s="5" t="s">
        <v>141</v>
      </c>
      <c r="D70" s="5" t="s">
        <v>795</v>
      </c>
      <c r="E70" s="5" t="s">
        <v>796</v>
      </c>
      <c r="F70" s="5" t="s">
        <v>797</v>
      </c>
      <c r="G70" s="6">
        <v>1.77898553154024e+18</v>
      </c>
      <c r="H70" s="5">
        <v>0.304889437813724</v>
      </c>
      <c r="I70" s="5">
        <v>0.291262438145478</v>
      </c>
      <c r="J70" s="5">
        <v>8.160353871</v>
      </c>
      <c r="K70" s="5">
        <v>0.304889437813724</v>
      </c>
      <c r="L70" s="6">
        <v>1.7789855315402e+18</v>
      </c>
      <c r="M70" s="5">
        <v>0.315589353612167</v>
      </c>
      <c r="N70" s="6">
        <v>1.77898554026271e+18</v>
      </c>
      <c r="O70" s="6">
        <v>1.77898492999601e+18</v>
      </c>
      <c r="P70" s="5">
        <v>590.563785036</v>
      </c>
      <c r="Q70" s="5">
        <v>0.25</v>
      </c>
      <c r="R70" s="5">
        <v>6</v>
      </c>
      <c r="S70" s="5" t="s">
        <v>145</v>
      </c>
      <c r="T70" s="5" t="s">
        <v>146</v>
      </c>
      <c r="U70" s="5" t="b">
        <v>0</v>
      </c>
      <c r="V70" s="5">
        <v>25</v>
      </c>
      <c r="W70" s="5">
        <v>0</v>
      </c>
      <c r="X70" s="5">
        <v>10</v>
      </c>
      <c r="Y70" s="5">
        <v>8</v>
      </c>
      <c r="Z70" s="5" t="b">
        <v>0</v>
      </c>
      <c r="AA70" s="5">
        <v>4</v>
      </c>
      <c r="AB70" s="5" t="b">
        <v>0</v>
      </c>
      <c r="AC70" s="5" t="b">
        <v>0</v>
      </c>
      <c r="AD70" s="5" t="s">
        <v>147</v>
      </c>
      <c r="AE70" s="5" t="s">
        <v>798</v>
      </c>
      <c r="AF70" s="5">
        <v>1</v>
      </c>
      <c r="AG70" s="5" t="b">
        <v>0</v>
      </c>
      <c r="AH70" s="5" t="b">
        <v>0</v>
      </c>
      <c r="AI70" s="5" t="s">
        <v>149</v>
      </c>
      <c r="AJ70" s="5">
        <v>3</v>
      </c>
      <c r="AK70" s="5" t="b">
        <v>0</v>
      </c>
      <c r="AL70" s="5">
        <v>4</v>
      </c>
      <c r="AM70" s="5">
        <v>0</v>
      </c>
      <c r="AN70" s="5">
        <v>0</v>
      </c>
      <c r="AO70" s="5" t="b">
        <v>0</v>
      </c>
      <c r="AP70" s="5">
        <v>0.001</v>
      </c>
      <c r="AQ70" s="5">
        <v>256</v>
      </c>
      <c r="AR70" s="5" t="b">
        <v>1</v>
      </c>
      <c r="AS70" s="5">
        <v>1</v>
      </c>
      <c r="AT70" s="5">
        <v>3</v>
      </c>
      <c r="AU70" s="5">
        <v>0.1</v>
      </c>
      <c r="AV70" s="5">
        <v>0.1</v>
      </c>
      <c r="AW70" s="5" t="b">
        <v>0</v>
      </c>
      <c r="AX70" s="5">
        <v>32</v>
      </c>
      <c r="AY70" s="5">
        <v>1234</v>
      </c>
      <c r="AZ70" s="5">
        <v>1</v>
      </c>
      <c r="BA70" s="5">
        <v>16</v>
      </c>
      <c r="BB70" s="5" t="s">
        <v>264</v>
      </c>
      <c r="BC70" s="5" t="s">
        <v>151</v>
      </c>
      <c r="BD70" s="5">
        <v>10</v>
      </c>
      <c r="BE70" s="5" t="b">
        <v>0</v>
      </c>
      <c r="BF70" s="5" t="s">
        <v>152</v>
      </c>
      <c r="BG70" s="5" t="s">
        <v>799</v>
      </c>
      <c r="BH70" s="5">
        <v>0</v>
      </c>
      <c r="BI70" s="5" t="s">
        <v>154</v>
      </c>
      <c r="BJ70" s="5">
        <v>2</v>
      </c>
      <c r="BK70" s="5"/>
      <c r="BL70" s="5" t="b">
        <v>0</v>
      </c>
      <c r="BM70" s="5">
        <v>0</v>
      </c>
      <c r="BN70" s="5">
        <v>0</v>
      </c>
      <c r="BO70" s="5" t="s">
        <v>155</v>
      </c>
      <c r="BP70" s="5">
        <v>128</v>
      </c>
      <c r="BQ70" s="5" t="s">
        <v>156</v>
      </c>
      <c r="BR70" s="5">
        <v>2</v>
      </c>
      <c r="BS70" s="5" t="s">
        <v>157</v>
      </c>
      <c r="BT70" s="5">
        <v>0</v>
      </c>
      <c r="BU70" s="5">
        <v>96</v>
      </c>
      <c r="BV70" s="5" t="b">
        <v>0</v>
      </c>
      <c r="BW70" s="5">
        <v>1000</v>
      </c>
      <c r="BX70" s="5">
        <v>0.3</v>
      </c>
      <c r="BY70" s="5" t="b">
        <v>0</v>
      </c>
      <c r="BZ70" s="5" t="s">
        <v>800</v>
      </c>
      <c r="CA70" s="5" t="s">
        <v>15</v>
      </c>
      <c r="CB70" s="5" t="s">
        <v>801</v>
      </c>
      <c r="CC70" s="5" t="s">
        <v>160</v>
      </c>
      <c r="CD70" s="5">
        <v>1751</v>
      </c>
      <c r="CE70" s="5">
        <v>32</v>
      </c>
      <c r="CF70" s="5" t="b">
        <v>0</v>
      </c>
      <c r="CG70" s="5" t="s">
        <v>161</v>
      </c>
      <c r="CH70" s="5">
        <v>48</v>
      </c>
      <c r="CI70" s="5">
        <v>1</v>
      </c>
      <c r="CJ70" s="5">
        <v>0.25</v>
      </c>
      <c r="CK70" s="5">
        <v>7</v>
      </c>
      <c r="CL70" s="5" t="s">
        <v>802</v>
      </c>
      <c r="CM70" s="5">
        <v>7</v>
      </c>
      <c r="CN70" s="5" t="s">
        <v>163</v>
      </c>
      <c r="CO70" s="5">
        <v>0</v>
      </c>
      <c r="CP70" s="5" t="s">
        <v>269</v>
      </c>
      <c r="CQ70" s="5" t="s">
        <v>164</v>
      </c>
      <c r="CR70" s="5" t="s">
        <v>799</v>
      </c>
      <c r="CS70" s="5">
        <v>3</v>
      </c>
      <c r="CT70" s="5" t="b">
        <v>0</v>
      </c>
      <c r="CU70" s="5" t="s">
        <v>165</v>
      </c>
      <c r="CV70" s="5" t="b">
        <v>1</v>
      </c>
      <c r="CW70" s="5" t="b">
        <v>0</v>
      </c>
      <c r="CX70" s="5">
        <v>1</v>
      </c>
      <c r="CY70" s="5">
        <v>2</v>
      </c>
      <c r="CZ70" s="5" t="b">
        <v>0</v>
      </c>
      <c r="DA70" s="5" t="b">
        <v>0</v>
      </c>
      <c r="DB70" s="5" t="b">
        <v>0</v>
      </c>
      <c r="DC70" s="5" t="s">
        <v>166</v>
      </c>
      <c r="DD70" s="5" t="s">
        <v>167</v>
      </c>
      <c r="DE70" s="5" t="s">
        <v>168</v>
      </c>
      <c r="DF70" s="5">
        <v>0.5</v>
      </c>
      <c r="DG70" s="5">
        <v>10</v>
      </c>
      <c r="DH70" s="5">
        <v>0.3</v>
      </c>
      <c r="DI70" s="5">
        <v>1</v>
      </c>
      <c r="DJ70" s="5">
        <v>1</v>
      </c>
      <c r="DK70" s="5" t="s">
        <v>169</v>
      </c>
      <c r="DL70" s="5" t="b">
        <v>0</v>
      </c>
      <c r="DM70" s="5">
        <v>32</v>
      </c>
      <c r="DN70" s="5">
        <v>1</v>
      </c>
      <c r="DO70" s="5" t="s">
        <v>170</v>
      </c>
      <c r="DP70" s="5" t="s">
        <v>801</v>
      </c>
      <c r="DQ70" s="5" t="s">
        <v>171</v>
      </c>
      <c r="DR70" s="5" t="s">
        <v>172</v>
      </c>
      <c r="DS70" s="7" t="str">
        <f>_xlfn.XLOOKUP(CP70,datasetmap!B:B,datasetmap!A:A)</f>
        <v>EC</v>
      </c>
      <c r="DT70" s="8">
        <f t="shared" si="1"/>
        <v>8.722470144</v>
      </c>
    </row>
    <row r="71" ht="17.6" spans="1:124">
      <c r="A71" s="5" t="s">
        <v>803</v>
      </c>
      <c r="B71" s="5">
        <v>32</v>
      </c>
      <c r="C71" s="5" t="s">
        <v>141</v>
      </c>
      <c r="D71" s="5" t="s">
        <v>804</v>
      </c>
      <c r="E71" s="5" t="s">
        <v>805</v>
      </c>
      <c r="F71" s="5" t="s">
        <v>806</v>
      </c>
      <c r="G71" s="6">
        <v>1.77898509155058e+18</v>
      </c>
      <c r="H71" s="5">
        <v>0.878681624080465</v>
      </c>
      <c r="I71" s="5">
        <v>0.86808476261158</v>
      </c>
      <c r="J71" s="5">
        <v>5.809004402</v>
      </c>
      <c r="K71" s="5">
        <v>0.878681624080465</v>
      </c>
      <c r="L71" s="6">
        <v>1.77898509155051e+18</v>
      </c>
      <c r="M71" s="5">
        <v>0.86875</v>
      </c>
      <c r="N71" s="6">
        <v>1.77898509764831e+18</v>
      </c>
      <c r="O71" s="6">
        <v>1.77898482344355e+18</v>
      </c>
      <c r="P71" s="5">
        <v>266.145857667</v>
      </c>
      <c r="Q71" s="5">
        <v>0.25</v>
      </c>
      <c r="R71" s="5">
        <v>6</v>
      </c>
      <c r="S71" s="5" t="s">
        <v>145</v>
      </c>
      <c r="T71" s="5" t="s">
        <v>146</v>
      </c>
      <c r="U71" s="5" t="b">
        <v>0</v>
      </c>
      <c r="V71" s="5">
        <v>25</v>
      </c>
      <c r="W71" s="5">
        <v>0</v>
      </c>
      <c r="X71" s="5">
        <v>10</v>
      </c>
      <c r="Y71" s="5">
        <v>8</v>
      </c>
      <c r="Z71" s="5" t="b">
        <v>0</v>
      </c>
      <c r="AA71" s="5">
        <v>4</v>
      </c>
      <c r="AB71" s="5" t="b">
        <v>0</v>
      </c>
      <c r="AC71" s="5" t="b">
        <v>0</v>
      </c>
      <c r="AD71" s="5" t="s">
        <v>147</v>
      </c>
      <c r="AE71" s="5" t="s">
        <v>807</v>
      </c>
      <c r="AF71" s="5">
        <v>1</v>
      </c>
      <c r="AG71" s="5" t="b">
        <v>0</v>
      </c>
      <c r="AH71" s="5" t="b">
        <v>0</v>
      </c>
      <c r="AI71" s="5" t="s">
        <v>149</v>
      </c>
      <c r="AJ71" s="5">
        <v>3</v>
      </c>
      <c r="AK71" s="5" t="b">
        <v>0</v>
      </c>
      <c r="AL71" s="5">
        <v>8</v>
      </c>
      <c r="AM71" s="5">
        <v>0</v>
      </c>
      <c r="AN71" s="5">
        <v>0</v>
      </c>
      <c r="AO71" s="5" t="b">
        <v>0</v>
      </c>
      <c r="AP71" s="5">
        <v>0.001</v>
      </c>
      <c r="AQ71" s="5">
        <v>256</v>
      </c>
      <c r="AR71" s="5" t="b">
        <v>1</v>
      </c>
      <c r="AS71" s="5">
        <v>1</v>
      </c>
      <c r="AT71" s="5">
        <v>3</v>
      </c>
      <c r="AU71" s="5">
        <v>0.1</v>
      </c>
      <c r="AV71" s="5">
        <v>0.1</v>
      </c>
      <c r="AW71" s="5" t="b">
        <v>0</v>
      </c>
      <c r="AX71" s="5">
        <v>32</v>
      </c>
      <c r="AY71" s="5">
        <v>1234</v>
      </c>
      <c r="AZ71" s="5">
        <v>1</v>
      </c>
      <c r="BA71" s="5">
        <v>16</v>
      </c>
      <c r="BB71" s="5" t="s">
        <v>275</v>
      </c>
      <c r="BC71" s="5" t="s">
        <v>151</v>
      </c>
      <c r="BD71" s="5">
        <v>10</v>
      </c>
      <c r="BE71" s="5" t="b">
        <v>0</v>
      </c>
      <c r="BF71" s="5" t="s">
        <v>152</v>
      </c>
      <c r="BG71" s="5" t="s">
        <v>808</v>
      </c>
      <c r="BH71" s="5">
        <v>0</v>
      </c>
      <c r="BI71" s="5" t="s">
        <v>154</v>
      </c>
      <c r="BJ71" s="5">
        <v>2</v>
      </c>
      <c r="BK71" s="5"/>
      <c r="BL71" s="5" t="b">
        <v>0</v>
      </c>
      <c r="BM71" s="5">
        <v>0</v>
      </c>
      <c r="BN71" s="5">
        <v>0</v>
      </c>
      <c r="BO71" s="5" t="s">
        <v>155</v>
      </c>
      <c r="BP71" s="5">
        <v>128</v>
      </c>
      <c r="BQ71" s="5" t="s">
        <v>156</v>
      </c>
      <c r="BR71" s="5">
        <v>2</v>
      </c>
      <c r="BS71" s="5" t="s">
        <v>157</v>
      </c>
      <c r="BT71" s="5">
        <v>0</v>
      </c>
      <c r="BU71" s="5">
        <v>96</v>
      </c>
      <c r="BV71" s="5" t="b">
        <v>0</v>
      </c>
      <c r="BW71" s="5">
        <v>1000</v>
      </c>
      <c r="BX71" s="5">
        <v>0.3</v>
      </c>
      <c r="BY71" s="5" t="b">
        <v>0</v>
      </c>
      <c r="BZ71" s="5" t="s">
        <v>809</v>
      </c>
      <c r="CA71" s="5" t="s">
        <v>15</v>
      </c>
      <c r="CB71" s="5" t="s">
        <v>810</v>
      </c>
      <c r="CC71" s="5" t="s">
        <v>160</v>
      </c>
      <c r="CD71" s="5">
        <v>315</v>
      </c>
      <c r="CE71" s="5">
        <v>32</v>
      </c>
      <c r="CF71" s="5" t="b">
        <v>0</v>
      </c>
      <c r="CG71" s="5" t="s">
        <v>161</v>
      </c>
      <c r="CH71" s="5">
        <v>48</v>
      </c>
      <c r="CI71" s="5">
        <v>1</v>
      </c>
      <c r="CJ71" s="5">
        <v>0.25</v>
      </c>
      <c r="CK71" s="5">
        <v>7</v>
      </c>
      <c r="CL71" s="5" t="s">
        <v>811</v>
      </c>
      <c r="CM71" s="5">
        <v>7</v>
      </c>
      <c r="CN71" s="5" t="s">
        <v>163</v>
      </c>
      <c r="CO71" s="5">
        <v>0</v>
      </c>
      <c r="CP71" s="5" t="s">
        <v>280</v>
      </c>
      <c r="CQ71" s="5" t="s">
        <v>164</v>
      </c>
      <c r="CR71" s="5" t="s">
        <v>808</v>
      </c>
      <c r="CS71" s="5">
        <v>3</v>
      </c>
      <c r="CT71" s="5" t="b">
        <v>0</v>
      </c>
      <c r="CU71" s="5" t="s">
        <v>165</v>
      </c>
      <c r="CV71" s="5" t="b">
        <v>1</v>
      </c>
      <c r="CW71" s="5" t="b">
        <v>0</v>
      </c>
      <c r="CX71" s="5">
        <v>1</v>
      </c>
      <c r="CY71" s="5">
        <v>2</v>
      </c>
      <c r="CZ71" s="5" t="b">
        <v>0</v>
      </c>
      <c r="DA71" s="5" t="b">
        <v>0</v>
      </c>
      <c r="DB71" s="5" t="b">
        <v>0</v>
      </c>
      <c r="DC71" s="5" t="s">
        <v>166</v>
      </c>
      <c r="DD71" s="5" t="s">
        <v>167</v>
      </c>
      <c r="DE71" s="5" t="s">
        <v>168</v>
      </c>
      <c r="DF71" s="5">
        <v>0.5</v>
      </c>
      <c r="DG71" s="5">
        <v>10</v>
      </c>
      <c r="DH71" s="5">
        <v>0.3</v>
      </c>
      <c r="DI71" s="5">
        <v>1</v>
      </c>
      <c r="DJ71" s="5">
        <v>1</v>
      </c>
      <c r="DK71" s="5" t="s">
        <v>169</v>
      </c>
      <c r="DL71" s="5" t="b">
        <v>0</v>
      </c>
      <c r="DM71" s="5">
        <v>32</v>
      </c>
      <c r="DN71" s="5">
        <v>1</v>
      </c>
      <c r="DO71" s="5" t="s">
        <v>170</v>
      </c>
      <c r="DP71" s="5" t="s">
        <v>810</v>
      </c>
      <c r="DQ71" s="5" t="s">
        <v>171</v>
      </c>
      <c r="DR71" s="5" t="s">
        <v>172</v>
      </c>
      <c r="DS71" s="7" t="str">
        <f>_xlfn.XLOOKUP(CP71,datasetmap!B:B,datasetmap!A:A)</f>
        <v>UWG</v>
      </c>
      <c r="DT71" s="8">
        <f t="shared" si="1"/>
        <v>6.097730048</v>
      </c>
    </row>
    <row r="72" ht="17.6" spans="1:124">
      <c r="A72" s="5" t="s">
        <v>812</v>
      </c>
      <c r="B72" s="5">
        <v>32</v>
      </c>
      <c r="C72" s="5" t="s">
        <v>141</v>
      </c>
      <c r="D72" s="5" t="s">
        <v>813</v>
      </c>
      <c r="E72" s="5" t="s">
        <v>814</v>
      </c>
      <c r="F72" s="5" t="s">
        <v>815</v>
      </c>
      <c r="G72" s="6">
        <v>1.77898480250439e+18</v>
      </c>
      <c r="H72" s="5">
        <v>0.864939046983844</v>
      </c>
      <c r="I72" s="5">
        <v>0.843526159074041</v>
      </c>
      <c r="J72" s="5">
        <v>2.101491633</v>
      </c>
      <c r="K72" s="5">
        <v>0.864939046983844</v>
      </c>
      <c r="L72" s="6">
        <v>1.77898480250426e+18</v>
      </c>
      <c r="M72" s="5">
        <v>0.84393063583815</v>
      </c>
      <c r="N72" s="6">
        <v>1.77898487400456e+18</v>
      </c>
      <c r="O72" s="6">
        <v>1.77898370728048e+18</v>
      </c>
      <c r="P72" s="5">
        <v>352.282818969</v>
      </c>
      <c r="Q72" s="5">
        <v>0.25</v>
      </c>
      <c r="R72" s="5">
        <v>6</v>
      </c>
      <c r="S72" s="5" t="s">
        <v>145</v>
      </c>
      <c r="T72" s="5" t="s">
        <v>146</v>
      </c>
      <c r="U72" s="5" t="b">
        <v>0</v>
      </c>
      <c r="V72" s="5">
        <v>25</v>
      </c>
      <c r="W72" s="5">
        <v>0</v>
      </c>
      <c r="X72" s="5">
        <v>10</v>
      </c>
      <c r="Y72" s="5">
        <v>8</v>
      </c>
      <c r="Z72" s="5" t="b">
        <v>0</v>
      </c>
      <c r="AA72" s="5">
        <v>4</v>
      </c>
      <c r="AB72" s="5" t="b">
        <v>0</v>
      </c>
      <c r="AC72" s="5" t="b">
        <v>0</v>
      </c>
      <c r="AD72" s="5" t="s">
        <v>147</v>
      </c>
      <c r="AE72" s="5" t="s">
        <v>816</v>
      </c>
      <c r="AF72" s="5">
        <v>1</v>
      </c>
      <c r="AG72" s="5" t="b">
        <v>0</v>
      </c>
      <c r="AH72" s="5" t="b">
        <v>0</v>
      </c>
      <c r="AI72" s="5" t="s">
        <v>149</v>
      </c>
      <c r="AJ72" s="5">
        <v>3</v>
      </c>
      <c r="AK72" s="5" t="b">
        <v>0</v>
      </c>
      <c r="AL72" s="5">
        <v>7</v>
      </c>
      <c r="AM72" s="5">
        <v>0</v>
      </c>
      <c r="AN72" s="5">
        <v>0</v>
      </c>
      <c r="AO72" s="5" t="b">
        <v>0</v>
      </c>
      <c r="AP72" s="5">
        <v>0.001</v>
      </c>
      <c r="AQ72" s="5">
        <v>256</v>
      </c>
      <c r="AR72" s="5" t="b">
        <v>1</v>
      </c>
      <c r="AS72" s="5">
        <v>1</v>
      </c>
      <c r="AT72" s="5">
        <v>3</v>
      </c>
      <c r="AU72" s="5">
        <v>0.1</v>
      </c>
      <c r="AV72" s="5">
        <v>0.1</v>
      </c>
      <c r="AW72" s="5" t="b">
        <v>0</v>
      </c>
      <c r="AX72" s="5">
        <v>32</v>
      </c>
      <c r="AY72" s="5">
        <v>123</v>
      </c>
      <c r="AZ72" s="5">
        <v>1</v>
      </c>
      <c r="BA72" s="5">
        <v>16</v>
      </c>
      <c r="BB72" s="5" t="s">
        <v>150</v>
      </c>
      <c r="BC72" s="5" t="s">
        <v>151</v>
      </c>
      <c r="BD72" s="5">
        <v>10</v>
      </c>
      <c r="BE72" s="5" t="b">
        <v>0</v>
      </c>
      <c r="BF72" s="5" t="s">
        <v>152</v>
      </c>
      <c r="BG72" s="5" t="s">
        <v>817</v>
      </c>
      <c r="BH72" s="5">
        <v>0</v>
      </c>
      <c r="BI72" s="5" t="s">
        <v>154</v>
      </c>
      <c r="BJ72" s="5">
        <v>2</v>
      </c>
      <c r="BK72" s="5"/>
      <c r="BL72" s="5" t="b">
        <v>0</v>
      </c>
      <c r="BM72" s="5">
        <v>0</v>
      </c>
      <c r="BN72" s="5">
        <v>0</v>
      </c>
      <c r="BO72" s="5" t="s">
        <v>155</v>
      </c>
      <c r="BP72" s="5">
        <v>128</v>
      </c>
      <c r="BQ72" s="5" t="s">
        <v>156</v>
      </c>
      <c r="BR72" s="5">
        <v>2</v>
      </c>
      <c r="BS72" s="5" t="s">
        <v>157</v>
      </c>
      <c r="BT72" s="5">
        <v>0</v>
      </c>
      <c r="BU72" s="5">
        <v>96</v>
      </c>
      <c r="BV72" s="5" t="b">
        <v>0</v>
      </c>
      <c r="BW72" s="5">
        <v>1000</v>
      </c>
      <c r="BX72" s="5">
        <v>0.3</v>
      </c>
      <c r="BY72" s="5" t="b">
        <v>0</v>
      </c>
      <c r="BZ72" s="5" t="s">
        <v>818</v>
      </c>
      <c r="CA72" s="5" t="s">
        <v>15</v>
      </c>
      <c r="CB72" s="5" t="s">
        <v>819</v>
      </c>
      <c r="CC72" s="5" t="s">
        <v>160</v>
      </c>
      <c r="CD72" s="5">
        <v>144</v>
      </c>
      <c r="CE72" s="5">
        <v>32</v>
      </c>
      <c r="CF72" s="5" t="b">
        <v>0</v>
      </c>
      <c r="CG72" s="5" t="s">
        <v>161</v>
      </c>
      <c r="CH72" s="5">
        <v>48</v>
      </c>
      <c r="CI72" s="5">
        <v>1</v>
      </c>
      <c r="CJ72" s="5">
        <v>0.25</v>
      </c>
      <c r="CK72" s="5">
        <v>7</v>
      </c>
      <c r="CL72" s="5" t="s">
        <v>820</v>
      </c>
      <c r="CM72" s="5">
        <v>7</v>
      </c>
      <c r="CN72" s="5" t="s">
        <v>163</v>
      </c>
      <c r="CO72" s="5">
        <v>0</v>
      </c>
      <c r="CP72" s="5" t="s">
        <v>8</v>
      </c>
      <c r="CQ72" s="5" t="s">
        <v>164</v>
      </c>
      <c r="CR72" s="5" t="s">
        <v>817</v>
      </c>
      <c r="CS72" s="5">
        <v>963</v>
      </c>
      <c r="CT72" s="5" t="b">
        <v>0</v>
      </c>
      <c r="CU72" s="5" t="s">
        <v>165</v>
      </c>
      <c r="CV72" s="5" t="b">
        <v>1</v>
      </c>
      <c r="CW72" s="5" t="b">
        <v>0</v>
      </c>
      <c r="CX72" s="5">
        <v>1</v>
      </c>
      <c r="CY72" s="5">
        <v>2</v>
      </c>
      <c r="CZ72" s="5" t="b">
        <v>0</v>
      </c>
      <c r="DA72" s="5" t="b">
        <v>0</v>
      </c>
      <c r="DB72" s="5" t="b">
        <v>0</v>
      </c>
      <c r="DC72" s="5" t="s">
        <v>166</v>
      </c>
      <c r="DD72" s="5" t="s">
        <v>167</v>
      </c>
      <c r="DE72" s="5" t="s">
        <v>168</v>
      </c>
      <c r="DF72" s="5">
        <v>0.5</v>
      </c>
      <c r="DG72" s="5">
        <v>10</v>
      </c>
      <c r="DH72" s="5">
        <v>0.3</v>
      </c>
      <c r="DI72" s="5">
        <v>1</v>
      </c>
      <c r="DJ72" s="5">
        <v>1</v>
      </c>
      <c r="DK72" s="5" t="s">
        <v>169</v>
      </c>
      <c r="DL72" s="5" t="b">
        <v>0</v>
      </c>
      <c r="DM72" s="5">
        <v>32</v>
      </c>
      <c r="DN72" s="5">
        <v>1</v>
      </c>
      <c r="DO72" s="5" t="s">
        <v>170</v>
      </c>
      <c r="DP72" s="5" t="s">
        <v>819</v>
      </c>
      <c r="DQ72" s="5" t="s">
        <v>171</v>
      </c>
      <c r="DR72" s="5" t="s">
        <v>172</v>
      </c>
      <c r="DS72" s="7" t="str">
        <f>_xlfn.XLOOKUP(CP72,datasetmap!B:B,datasetmap!A:A)</f>
        <v>PEMS-SF</v>
      </c>
      <c r="DT72" s="8">
        <f t="shared" si="1"/>
        <v>71.500169984</v>
      </c>
    </row>
    <row r="73" ht="17.6" spans="1:124">
      <c r="A73" s="5" t="s">
        <v>821</v>
      </c>
      <c r="B73" s="5">
        <v>32</v>
      </c>
      <c r="C73" s="5" t="s">
        <v>141</v>
      </c>
      <c r="D73" s="5" t="s">
        <v>822</v>
      </c>
      <c r="E73" s="5" t="s">
        <v>823</v>
      </c>
      <c r="F73" s="5" t="s">
        <v>824</v>
      </c>
      <c r="G73" s="6">
        <v>1.77898479173018e+18</v>
      </c>
      <c r="H73" s="5">
        <v>0.988342027941719</v>
      </c>
      <c r="I73" s="5">
        <v>0.988147723227881</v>
      </c>
      <c r="J73" s="5">
        <v>13.131470284</v>
      </c>
      <c r="K73" s="5">
        <v>0.988342027941719</v>
      </c>
      <c r="L73" s="6">
        <v>1.77898479173012e+18</v>
      </c>
      <c r="M73" s="5">
        <v>0.988176443838108</v>
      </c>
      <c r="N73" s="6">
        <v>1.7789848095488e+18</v>
      </c>
      <c r="O73" s="6">
        <v>1.7789825251182e+18</v>
      </c>
      <c r="P73" s="5">
        <v>2244.309656681</v>
      </c>
      <c r="Q73" s="5">
        <v>0.25</v>
      </c>
      <c r="R73" s="5">
        <v>6</v>
      </c>
      <c r="S73" s="5" t="s">
        <v>145</v>
      </c>
      <c r="T73" s="5" t="s">
        <v>146</v>
      </c>
      <c r="U73" s="5" t="b">
        <v>0</v>
      </c>
      <c r="V73" s="5">
        <v>25</v>
      </c>
      <c r="W73" s="5">
        <v>0</v>
      </c>
      <c r="X73" s="5">
        <v>10</v>
      </c>
      <c r="Y73" s="5">
        <v>8</v>
      </c>
      <c r="Z73" s="5" t="b">
        <v>0</v>
      </c>
      <c r="AA73" s="5">
        <v>4</v>
      </c>
      <c r="AB73" s="5" t="b">
        <v>0</v>
      </c>
      <c r="AC73" s="5" t="b">
        <v>0</v>
      </c>
      <c r="AD73" s="5" t="s">
        <v>147</v>
      </c>
      <c r="AE73" s="5" t="s">
        <v>825</v>
      </c>
      <c r="AF73" s="5">
        <v>1</v>
      </c>
      <c r="AG73" s="5" t="b">
        <v>0</v>
      </c>
      <c r="AH73" s="5" t="b">
        <v>0</v>
      </c>
      <c r="AI73" s="5" t="s">
        <v>149</v>
      </c>
      <c r="AJ73" s="5">
        <v>3</v>
      </c>
      <c r="AK73" s="5" t="b">
        <v>0</v>
      </c>
      <c r="AL73" s="5">
        <v>10</v>
      </c>
      <c r="AM73" s="5">
        <v>0</v>
      </c>
      <c r="AN73" s="5">
        <v>0</v>
      </c>
      <c r="AO73" s="5" t="b">
        <v>0</v>
      </c>
      <c r="AP73" s="5">
        <v>0.001</v>
      </c>
      <c r="AQ73" s="5">
        <v>256</v>
      </c>
      <c r="AR73" s="5" t="b">
        <v>1</v>
      </c>
      <c r="AS73" s="5">
        <v>1</v>
      </c>
      <c r="AT73" s="5">
        <v>3</v>
      </c>
      <c r="AU73" s="5">
        <v>0.1</v>
      </c>
      <c r="AV73" s="5">
        <v>0.1</v>
      </c>
      <c r="AW73" s="5" t="b">
        <v>0</v>
      </c>
      <c r="AX73" s="5">
        <v>32</v>
      </c>
      <c r="AY73" s="5">
        <v>123</v>
      </c>
      <c r="AZ73" s="5">
        <v>1</v>
      </c>
      <c r="BA73" s="5">
        <v>16</v>
      </c>
      <c r="BB73" s="5" t="s">
        <v>178</v>
      </c>
      <c r="BC73" s="5" t="s">
        <v>151</v>
      </c>
      <c r="BD73" s="5">
        <v>10</v>
      </c>
      <c r="BE73" s="5" t="b">
        <v>0</v>
      </c>
      <c r="BF73" s="5" t="s">
        <v>152</v>
      </c>
      <c r="BG73" s="5" t="s">
        <v>826</v>
      </c>
      <c r="BH73" s="5">
        <v>0</v>
      </c>
      <c r="BI73" s="5" t="s">
        <v>154</v>
      </c>
      <c r="BJ73" s="5">
        <v>2</v>
      </c>
      <c r="BK73" s="5"/>
      <c r="BL73" s="5" t="b">
        <v>0</v>
      </c>
      <c r="BM73" s="5">
        <v>0</v>
      </c>
      <c r="BN73" s="5">
        <v>0</v>
      </c>
      <c r="BO73" s="5" t="s">
        <v>155</v>
      </c>
      <c r="BP73" s="5">
        <v>128</v>
      </c>
      <c r="BQ73" s="5" t="s">
        <v>156</v>
      </c>
      <c r="BR73" s="5">
        <v>2</v>
      </c>
      <c r="BS73" s="5" t="s">
        <v>157</v>
      </c>
      <c r="BT73" s="5">
        <v>0</v>
      </c>
      <c r="BU73" s="5">
        <v>96</v>
      </c>
      <c r="BV73" s="5" t="b">
        <v>0</v>
      </c>
      <c r="BW73" s="5">
        <v>1000</v>
      </c>
      <c r="BX73" s="5">
        <v>0.3</v>
      </c>
      <c r="BY73" s="5" t="b">
        <v>0</v>
      </c>
      <c r="BZ73" s="5" t="s">
        <v>827</v>
      </c>
      <c r="CA73" s="5" t="s">
        <v>15</v>
      </c>
      <c r="CB73" s="5" t="s">
        <v>828</v>
      </c>
      <c r="CC73" s="5" t="s">
        <v>160</v>
      </c>
      <c r="CD73" s="5">
        <v>93</v>
      </c>
      <c r="CE73" s="5">
        <v>32</v>
      </c>
      <c r="CF73" s="5" t="b">
        <v>0</v>
      </c>
      <c r="CG73" s="5" t="s">
        <v>161</v>
      </c>
      <c r="CH73" s="5">
        <v>48</v>
      </c>
      <c r="CI73" s="5">
        <v>1</v>
      </c>
      <c r="CJ73" s="5">
        <v>0.25</v>
      </c>
      <c r="CK73" s="5">
        <v>7</v>
      </c>
      <c r="CL73" s="5" t="s">
        <v>829</v>
      </c>
      <c r="CM73" s="5">
        <v>7</v>
      </c>
      <c r="CN73" s="5" t="s">
        <v>163</v>
      </c>
      <c r="CO73" s="5">
        <v>0</v>
      </c>
      <c r="CP73" s="5" t="s">
        <v>183</v>
      </c>
      <c r="CQ73" s="5" t="s">
        <v>164</v>
      </c>
      <c r="CR73" s="5" t="s">
        <v>826</v>
      </c>
      <c r="CS73" s="5">
        <v>13</v>
      </c>
      <c r="CT73" s="5" t="b">
        <v>0</v>
      </c>
      <c r="CU73" s="5" t="s">
        <v>165</v>
      </c>
      <c r="CV73" s="5" t="b">
        <v>1</v>
      </c>
      <c r="CW73" s="5" t="b">
        <v>0</v>
      </c>
      <c r="CX73" s="5">
        <v>1</v>
      </c>
      <c r="CY73" s="5">
        <v>2</v>
      </c>
      <c r="CZ73" s="5" t="b">
        <v>0</v>
      </c>
      <c r="DA73" s="5" t="b">
        <v>0</v>
      </c>
      <c r="DB73" s="5" t="b">
        <v>0</v>
      </c>
      <c r="DC73" s="5" t="s">
        <v>166</v>
      </c>
      <c r="DD73" s="5" t="s">
        <v>167</v>
      </c>
      <c r="DE73" s="5" t="s">
        <v>168</v>
      </c>
      <c r="DF73" s="5">
        <v>0.5</v>
      </c>
      <c r="DG73" s="5">
        <v>10</v>
      </c>
      <c r="DH73" s="5">
        <v>0.3</v>
      </c>
      <c r="DI73" s="5">
        <v>1</v>
      </c>
      <c r="DJ73" s="5">
        <v>1</v>
      </c>
      <c r="DK73" s="5" t="s">
        <v>169</v>
      </c>
      <c r="DL73" s="5" t="b">
        <v>0</v>
      </c>
      <c r="DM73" s="5">
        <v>32</v>
      </c>
      <c r="DN73" s="5">
        <v>1</v>
      </c>
      <c r="DO73" s="5" t="s">
        <v>170</v>
      </c>
      <c r="DP73" s="5" t="s">
        <v>828</v>
      </c>
      <c r="DQ73" s="5" t="s">
        <v>171</v>
      </c>
      <c r="DR73" s="5" t="s">
        <v>172</v>
      </c>
      <c r="DS73" s="7" t="str">
        <f>_xlfn.XLOOKUP(CP73,datasetmap!B:B,datasetmap!A:A)</f>
        <v>SAD</v>
      </c>
      <c r="DT73" s="8">
        <f t="shared" si="1"/>
        <v>17.818619904</v>
      </c>
    </row>
    <row r="74" ht="17.6" spans="1:124">
      <c r="A74" s="5" t="s">
        <v>830</v>
      </c>
      <c r="B74" s="5">
        <v>32</v>
      </c>
      <c r="C74" s="5" t="s">
        <v>141</v>
      </c>
      <c r="D74" s="5" t="s">
        <v>831</v>
      </c>
      <c r="E74" s="5" t="s">
        <v>832</v>
      </c>
      <c r="F74" s="5" t="s">
        <v>833</v>
      </c>
      <c r="G74" s="6">
        <v>1.77898248618659e+18</v>
      </c>
      <c r="H74" s="5">
        <v>0.905629085710365</v>
      </c>
      <c r="I74" s="5">
        <v>0.904356637303649</v>
      </c>
      <c r="J74" s="5">
        <v>6.066173756</v>
      </c>
      <c r="K74" s="5">
        <v>0.905629085710365</v>
      </c>
      <c r="L74" s="6">
        <v>1.77898248618652e+18</v>
      </c>
      <c r="M74" s="5">
        <v>0.904436860068259</v>
      </c>
      <c r="N74" s="6">
        <v>1.77898249315718e+18</v>
      </c>
      <c r="O74" s="6">
        <v>1.77898175408584e+18</v>
      </c>
      <c r="P74" s="5">
        <v>729.190751012</v>
      </c>
      <c r="Q74" s="5">
        <v>0.25</v>
      </c>
      <c r="R74" s="5">
        <v>6</v>
      </c>
      <c r="S74" s="5" t="s">
        <v>145</v>
      </c>
      <c r="T74" s="5" t="s">
        <v>146</v>
      </c>
      <c r="U74" s="5" t="b">
        <v>0</v>
      </c>
      <c r="V74" s="5">
        <v>25</v>
      </c>
      <c r="W74" s="5">
        <v>0</v>
      </c>
      <c r="X74" s="5">
        <v>10</v>
      </c>
      <c r="Y74" s="5">
        <v>8</v>
      </c>
      <c r="Z74" s="5" t="b">
        <v>0</v>
      </c>
      <c r="AA74" s="5">
        <v>4</v>
      </c>
      <c r="AB74" s="5" t="b">
        <v>0</v>
      </c>
      <c r="AC74" s="5" t="b">
        <v>0</v>
      </c>
      <c r="AD74" s="5" t="s">
        <v>147</v>
      </c>
      <c r="AE74" s="5" t="s">
        <v>834</v>
      </c>
      <c r="AF74" s="5">
        <v>1</v>
      </c>
      <c r="AG74" s="5" t="b">
        <v>0</v>
      </c>
      <c r="AH74" s="5" t="b">
        <v>0</v>
      </c>
      <c r="AI74" s="5" t="s">
        <v>149</v>
      </c>
      <c r="AJ74" s="5">
        <v>3</v>
      </c>
      <c r="AK74" s="5" t="b">
        <v>0</v>
      </c>
      <c r="AL74" s="5">
        <v>2</v>
      </c>
      <c r="AM74" s="5">
        <v>0</v>
      </c>
      <c r="AN74" s="5">
        <v>0</v>
      </c>
      <c r="AO74" s="5" t="b">
        <v>0</v>
      </c>
      <c r="AP74" s="5">
        <v>0.001</v>
      </c>
      <c r="AQ74" s="5">
        <v>256</v>
      </c>
      <c r="AR74" s="5" t="b">
        <v>1</v>
      </c>
      <c r="AS74" s="5">
        <v>1</v>
      </c>
      <c r="AT74" s="5">
        <v>3</v>
      </c>
      <c r="AU74" s="5">
        <v>0.1</v>
      </c>
      <c r="AV74" s="5">
        <v>0.1</v>
      </c>
      <c r="AW74" s="5" t="b">
        <v>0</v>
      </c>
      <c r="AX74" s="5">
        <v>32</v>
      </c>
      <c r="AY74" s="5">
        <v>123</v>
      </c>
      <c r="AZ74" s="5">
        <v>1</v>
      </c>
      <c r="BA74" s="5">
        <v>16</v>
      </c>
      <c r="BB74" s="5" t="s">
        <v>211</v>
      </c>
      <c r="BC74" s="5" t="s">
        <v>151</v>
      </c>
      <c r="BD74" s="5">
        <v>10</v>
      </c>
      <c r="BE74" s="5" t="b">
        <v>0</v>
      </c>
      <c r="BF74" s="5" t="s">
        <v>152</v>
      </c>
      <c r="BG74" s="5" t="s">
        <v>835</v>
      </c>
      <c r="BH74" s="5">
        <v>0</v>
      </c>
      <c r="BI74" s="5" t="s">
        <v>154</v>
      </c>
      <c r="BJ74" s="5">
        <v>2</v>
      </c>
      <c r="BK74" s="5"/>
      <c r="BL74" s="5" t="b">
        <v>0</v>
      </c>
      <c r="BM74" s="5">
        <v>0</v>
      </c>
      <c r="BN74" s="5">
        <v>0</v>
      </c>
      <c r="BO74" s="5" t="s">
        <v>155</v>
      </c>
      <c r="BP74" s="5">
        <v>128</v>
      </c>
      <c r="BQ74" s="5" t="s">
        <v>156</v>
      </c>
      <c r="BR74" s="5">
        <v>2</v>
      </c>
      <c r="BS74" s="5" t="s">
        <v>157</v>
      </c>
      <c r="BT74" s="5">
        <v>0</v>
      </c>
      <c r="BU74" s="5">
        <v>96</v>
      </c>
      <c r="BV74" s="5" t="b">
        <v>0</v>
      </c>
      <c r="BW74" s="5">
        <v>1000</v>
      </c>
      <c r="BX74" s="5">
        <v>0.3</v>
      </c>
      <c r="BY74" s="5" t="b">
        <v>0</v>
      </c>
      <c r="BZ74" s="5" t="s">
        <v>836</v>
      </c>
      <c r="CA74" s="5" t="s">
        <v>15</v>
      </c>
      <c r="CB74" s="5" t="s">
        <v>837</v>
      </c>
      <c r="CC74" s="5" t="s">
        <v>160</v>
      </c>
      <c r="CD74" s="5">
        <v>896</v>
      </c>
      <c r="CE74" s="5">
        <v>32</v>
      </c>
      <c r="CF74" s="5" t="b">
        <v>0</v>
      </c>
      <c r="CG74" s="5" t="s">
        <v>161</v>
      </c>
      <c r="CH74" s="5">
        <v>48</v>
      </c>
      <c r="CI74" s="5">
        <v>1</v>
      </c>
      <c r="CJ74" s="5">
        <v>0.25</v>
      </c>
      <c r="CK74" s="5">
        <v>7</v>
      </c>
      <c r="CL74" s="5" t="s">
        <v>838</v>
      </c>
      <c r="CM74" s="5">
        <v>7</v>
      </c>
      <c r="CN74" s="5" t="s">
        <v>163</v>
      </c>
      <c r="CO74" s="5">
        <v>0</v>
      </c>
      <c r="CP74" s="5" t="s">
        <v>216</v>
      </c>
      <c r="CQ74" s="5" t="s">
        <v>164</v>
      </c>
      <c r="CR74" s="5" t="s">
        <v>835</v>
      </c>
      <c r="CS74" s="5">
        <v>6</v>
      </c>
      <c r="CT74" s="5" t="b">
        <v>0</v>
      </c>
      <c r="CU74" s="5" t="s">
        <v>165</v>
      </c>
      <c r="CV74" s="5" t="b">
        <v>1</v>
      </c>
      <c r="CW74" s="5" t="b">
        <v>0</v>
      </c>
      <c r="CX74" s="5">
        <v>1</v>
      </c>
      <c r="CY74" s="5">
        <v>2</v>
      </c>
      <c r="CZ74" s="5" t="b">
        <v>0</v>
      </c>
      <c r="DA74" s="5" t="b">
        <v>0</v>
      </c>
      <c r="DB74" s="5" t="b">
        <v>0</v>
      </c>
      <c r="DC74" s="5" t="s">
        <v>166</v>
      </c>
      <c r="DD74" s="5" t="s">
        <v>167</v>
      </c>
      <c r="DE74" s="5" t="s">
        <v>168</v>
      </c>
      <c r="DF74" s="5">
        <v>0.5</v>
      </c>
      <c r="DG74" s="5">
        <v>10</v>
      </c>
      <c r="DH74" s="5">
        <v>0.3</v>
      </c>
      <c r="DI74" s="5">
        <v>1</v>
      </c>
      <c r="DJ74" s="5">
        <v>1</v>
      </c>
      <c r="DK74" s="5" t="s">
        <v>169</v>
      </c>
      <c r="DL74" s="5" t="b">
        <v>0</v>
      </c>
      <c r="DM74" s="5">
        <v>32</v>
      </c>
      <c r="DN74" s="5">
        <v>1</v>
      </c>
      <c r="DO74" s="5" t="s">
        <v>170</v>
      </c>
      <c r="DP74" s="5" t="s">
        <v>837</v>
      </c>
      <c r="DQ74" s="5" t="s">
        <v>171</v>
      </c>
      <c r="DR74" s="5" t="s">
        <v>172</v>
      </c>
      <c r="DS74" s="7" t="str">
        <f>_xlfn.XLOOKUP(CP74,datasetmap!B:B,datasetmap!A:A)</f>
        <v>SRS1</v>
      </c>
      <c r="DT74" s="8">
        <f t="shared" si="1"/>
        <v>6.970589952</v>
      </c>
    </row>
    <row r="75" ht="17.6" spans="1:124">
      <c r="A75" s="5" t="s">
        <v>839</v>
      </c>
      <c r="B75" s="5">
        <v>32</v>
      </c>
      <c r="C75" s="5" t="s">
        <v>141</v>
      </c>
      <c r="D75" s="5" t="s">
        <v>840</v>
      </c>
      <c r="E75" s="5" t="s">
        <v>841</v>
      </c>
      <c r="F75" s="5" t="s">
        <v>842</v>
      </c>
      <c r="G75" s="6">
        <v>1.77898244114581e+18</v>
      </c>
      <c r="H75" s="5">
        <v>0.545894951555328</v>
      </c>
      <c r="I75" s="5">
        <v>0.540816326530612</v>
      </c>
      <c r="J75" s="5">
        <v>4.939027732</v>
      </c>
      <c r="K75" s="5">
        <v>0.545894951555328</v>
      </c>
      <c r="L75" s="6">
        <v>1.77898244114575e+18</v>
      </c>
      <c r="M75" s="5">
        <v>0.544444444444444</v>
      </c>
      <c r="N75" s="6">
        <v>1.7789824472201e+18</v>
      </c>
      <c r="O75" s="6">
        <v>1.77898183878107e+18</v>
      </c>
      <c r="P75" s="5">
        <v>597.285606629</v>
      </c>
      <c r="Q75" s="5">
        <v>0.25</v>
      </c>
      <c r="R75" s="5">
        <v>6</v>
      </c>
      <c r="S75" s="5" t="s">
        <v>145</v>
      </c>
      <c r="T75" s="5" t="s">
        <v>146</v>
      </c>
      <c r="U75" s="5" t="b">
        <v>0</v>
      </c>
      <c r="V75" s="5">
        <v>25</v>
      </c>
      <c r="W75" s="5">
        <v>0</v>
      </c>
      <c r="X75" s="5">
        <v>10</v>
      </c>
      <c r="Y75" s="5">
        <v>8</v>
      </c>
      <c r="Z75" s="5" t="b">
        <v>0</v>
      </c>
      <c r="AA75" s="5">
        <v>4</v>
      </c>
      <c r="AB75" s="5" t="b">
        <v>0</v>
      </c>
      <c r="AC75" s="5" t="b">
        <v>0</v>
      </c>
      <c r="AD75" s="5" t="s">
        <v>147</v>
      </c>
      <c r="AE75" s="5" t="s">
        <v>843</v>
      </c>
      <c r="AF75" s="5">
        <v>1</v>
      </c>
      <c r="AG75" s="5" t="b">
        <v>0</v>
      </c>
      <c r="AH75" s="5" t="b">
        <v>0</v>
      </c>
      <c r="AI75" s="5" t="s">
        <v>149</v>
      </c>
      <c r="AJ75" s="5">
        <v>3</v>
      </c>
      <c r="AK75" s="5" t="b">
        <v>0</v>
      </c>
      <c r="AL75" s="5">
        <v>2</v>
      </c>
      <c r="AM75" s="5">
        <v>0</v>
      </c>
      <c r="AN75" s="5">
        <v>0</v>
      </c>
      <c r="AO75" s="5" t="b">
        <v>0</v>
      </c>
      <c r="AP75" s="5">
        <v>0.001</v>
      </c>
      <c r="AQ75" s="5">
        <v>256</v>
      </c>
      <c r="AR75" s="5" t="b">
        <v>1</v>
      </c>
      <c r="AS75" s="5">
        <v>1</v>
      </c>
      <c r="AT75" s="5">
        <v>3</v>
      </c>
      <c r="AU75" s="5">
        <v>0.1</v>
      </c>
      <c r="AV75" s="5">
        <v>0.1</v>
      </c>
      <c r="AW75" s="5" t="b">
        <v>0</v>
      </c>
      <c r="AX75" s="5">
        <v>32</v>
      </c>
      <c r="AY75" s="5">
        <v>123</v>
      </c>
      <c r="AZ75" s="5">
        <v>1</v>
      </c>
      <c r="BA75" s="5">
        <v>16</v>
      </c>
      <c r="BB75" s="5" t="s">
        <v>200</v>
      </c>
      <c r="BC75" s="5" t="s">
        <v>151</v>
      </c>
      <c r="BD75" s="5">
        <v>10</v>
      </c>
      <c r="BE75" s="5" t="b">
        <v>0</v>
      </c>
      <c r="BF75" s="5" t="s">
        <v>152</v>
      </c>
      <c r="BG75" s="5" t="s">
        <v>844</v>
      </c>
      <c r="BH75" s="5">
        <v>0</v>
      </c>
      <c r="BI75" s="5" t="s">
        <v>154</v>
      </c>
      <c r="BJ75" s="5">
        <v>2</v>
      </c>
      <c r="BK75" s="5"/>
      <c r="BL75" s="5" t="b">
        <v>0</v>
      </c>
      <c r="BM75" s="5">
        <v>0</v>
      </c>
      <c r="BN75" s="5">
        <v>0</v>
      </c>
      <c r="BO75" s="5" t="s">
        <v>155</v>
      </c>
      <c r="BP75" s="5">
        <v>128</v>
      </c>
      <c r="BQ75" s="5" t="s">
        <v>156</v>
      </c>
      <c r="BR75" s="5">
        <v>2</v>
      </c>
      <c r="BS75" s="5" t="s">
        <v>157</v>
      </c>
      <c r="BT75" s="5">
        <v>0</v>
      </c>
      <c r="BU75" s="5">
        <v>96</v>
      </c>
      <c r="BV75" s="5" t="b">
        <v>0</v>
      </c>
      <c r="BW75" s="5">
        <v>1000</v>
      </c>
      <c r="BX75" s="5">
        <v>0.3</v>
      </c>
      <c r="BY75" s="5" t="b">
        <v>0</v>
      </c>
      <c r="BZ75" s="5" t="s">
        <v>845</v>
      </c>
      <c r="CA75" s="5" t="s">
        <v>15</v>
      </c>
      <c r="CB75" s="5" t="s">
        <v>846</v>
      </c>
      <c r="CC75" s="5" t="s">
        <v>160</v>
      </c>
      <c r="CD75" s="5">
        <v>1152</v>
      </c>
      <c r="CE75" s="5">
        <v>32</v>
      </c>
      <c r="CF75" s="5" t="b">
        <v>0</v>
      </c>
      <c r="CG75" s="5" t="s">
        <v>161</v>
      </c>
      <c r="CH75" s="5">
        <v>48</v>
      </c>
      <c r="CI75" s="5">
        <v>1</v>
      </c>
      <c r="CJ75" s="5">
        <v>0.25</v>
      </c>
      <c r="CK75" s="5">
        <v>7</v>
      </c>
      <c r="CL75" s="5" t="s">
        <v>847</v>
      </c>
      <c r="CM75" s="5">
        <v>7</v>
      </c>
      <c r="CN75" s="5" t="s">
        <v>163</v>
      </c>
      <c r="CO75" s="5">
        <v>0</v>
      </c>
      <c r="CP75" s="5" t="s">
        <v>205</v>
      </c>
      <c r="CQ75" s="5" t="s">
        <v>164</v>
      </c>
      <c r="CR75" s="5" t="s">
        <v>844</v>
      </c>
      <c r="CS75" s="5">
        <v>7</v>
      </c>
      <c r="CT75" s="5" t="b">
        <v>0</v>
      </c>
      <c r="CU75" s="5" t="s">
        <v>165</v>
      </c>
      <c r="CV75" s="5" t="b">
        <v>1</v>
      </c>
      <c r="CW75" s="5" t="b">
        <v>0</v>
      </c>
      <c r="CX75" s="5">
        <v>1</v>
      </c>
      <c r="CY75" s="5">
        <v>2</v>
      </c>
      <c r="CZ75" s="5" t="b">
        <v>0</v>
      </c>
      <c r="DA75" s="5" t="b">
        <v>0</v>
      </c>
      <c r="DB75" s="5" t="b">
        <v>0</v>
      </c>
      <c r="DC75" s="5" t="s">
        <v>166</v>
      </c>
      <c r="DD75" s="5" t="s">
        <v>167</v>
      </c>
      <c r="DE75" s="5" t="s">
        <v>168</v>
      </c>
      <c r="DF75" s="5">
        <v>0.5</v>
      </c>
      <c r="DG75" s="5">
        <v>10</v>
      </c>
      <c r="DH75" s="5">
        <v>0.3</v>
      </c>
      <c r="DI75" s="5">
        <v>1</v>
      </c>
      <c r="DJ75" s="5">
        <v>1</v>
      </c>
      <c r="DK75" s="5" t="s">
        <v>169</v>
      </c>
      <c r="DL75" s="5" t="b">
        <v>0</v>
      </c>
      <c r="DM75" s="5">
        <v>32</v>
      </c>
      <c r="DN75" s="5">
        <v>1</v>
      </c>
      <c r="DO75" s="5" t="s">
        <v>170</v>
      </c>
      <c r="DP75" s="5" t="s">
        <v>846</v>
      </c>
      <c r="DQ75" s="5" t="s">
        <v>171</v>
      </c>
      <c r="DR75" s="5" t="s">
        <v>172</v>
      </c>
      <c r="DS75" s="7" t="str">
        <f>_xlfn.XLOOKUP(CP75,datasetmap!B:B,datasetmap!A:A)</f>
        <v>SRS2</v>
      </c>
      <c r="DT75" s="8">
        <f t="shared" si="1"/>
        <v>6.074290176</v>
      </c>
    </row>
    <row r="76" ht="17.6" spans="1:124">
      <c r="A76" s="5" t="s">
        <v>848</v>
      </c>
      <c r="B76" s="5">
        <v>32</v>
      </c>
      <c r="C76" s="5" t="s">
        <v>141</v>
      </c>
      <c r="D76" s="5" t="s">
        <v>849</v>
      </c>
      <c r="E76" s="5" t="s">
        <v>850</v>
      </c>
      <c r="F76" s="5" t="s">
        <v>851</v>
      </c>
      <c r="G76" s="6">
        <v>1.77898156349227e+18</v>
      </c>
      <c r="H76" s="5">
        <v>0.66422736265049</v>
      </c>
      <c r="I76" s="5">
        <v>0.659601636634518</v>
      </c>
      <c r="J76" s="5">
        <v>33.446977215</v>
      </c>
      <c r="K76" s="5">
        <v>0.66422736265049</v>
      </c>
      <c r="L76" s="6">
        <v>1.77898156349222e+18</v>
      </c>
      <c r="M76" s="5">
        <v>0.661180476730987</v>
      </c>
      <c r="N76" s="6">
        <v>1.77898179050176e+18</v>
      </c>
      <c r="O76" s="6">
        <v>1.77897934764518e+18</v>
      </c>
      <c r="P76" s="5">
        <v>1497.886904843</v>
      </c>
      <c r="Q76" s="5">
        <v>0.25</v>
      </c>
      <c r="R76" s="5">
        <v>6</v>
      </c>
      <c r="S76" s="5" t="s">
        <v>145</v>
      </c>
      <c r="T76" s="5" t="s">
        <v>146</v>
      </c>
      <c r="U76" s="5" t="b">
        <v>0</v>
      </c>
      <c r="V76" s="5">
        <v>25</v>
      </c>
      <c r="W76" s="5">
        <v>0</v>
      </c>
      <c r="X76" s="5">
        <v>10</v>
      </c>
      <c r="Y76" s="5">
        <v>8</v>
      </c>
      <c r="Z76" s="5" t="b">
        <v>0</v>
      </c>
      <c r="AA76" s="5">
        <v>4</v>
      </c>
      <c r="AB76" s="5" t="b">
        <v>0</v>
      </c>
      <c r="AC76" s="5" t="b">
        <v>0</v>
      </c>
      <c r="AD76" s="5" t="s">
        <v>147</v>
      </c>
      <c r="AE76" s="5" t="s">
        <v>852</v>
      </c>
      <c r="AF76" s="5">
        <v>1</v>
      </c>
      <c r="AG76" s="5" t="b">
        <v>0</v>
      </c>
      <c r="AH76" s="5" t="b">
        <v>0</v>
      </c>
      <c r="AI76" s="5" t="s">
        <v>149</v>
      </c>
      <c r="AJ76" s="5">
        <v>3</v>
      </c>
      <c r="AK76" s="5" t="b">
        <v>0</v>
      </c>
      <c r="AL76" s="5">
        <v>2</v>
      </c>
      <c r="AM76" s="5">
        <v>0</v>
      </c>
      <c r="AN76" s="5">
        <v>0</v>
      </c>
      <c r="AO76" s="5" t="b">
        <v>0</v>
      </c>
      <c r="AP76" s="5">
        <v>0.001</v>
      </c>
      <c r="AQ76" s="5">
        <v>256</v>
      </c>
      <c r="AR76" s="5" t="b">
        <v>1</v>
      </c>
      <c r="AS76" s="5">
        <v>1</v>
      </c>
      <c r="AT76" s="5">
        <v>3</v>
      </c>
      <c r="AU76" s="5">
        <v>0.1</v>
      </c>
      <c r="AV76" s="5">
        <v>0.1</v>
      </c>
      <c r="AW76" s="5" t="b">
        <v>0</v>
      </c>
      <c r="AX76" s="5">
        <v>32</v>
      </c>
      <c r="AY76" s="5">
        <v>123</v>
      </c>
      <c r="AZ76" s="5">
        <v>1</v>
      </c>
      <c r="BA76" s="5">
        <v>16</v>
      </c>
      <c r="BB76" s="5" t="s">
        <v>189</v>
      </c>
      <c r="BC76" s="5" t="s">
        <v>151</v>
      </c>
      <c r="BD76" s="5">
        <v>10</v>
      </c>
      <c r="BE76" s="5" t="b">
        <v>0</v>
      </c>
      <c r="BF76" s="5" t="s">
        <v>152</v>
      </c>
      <c r="BG76" s="5" t="s">
        <v>853</v>
      </c>
      <c r="BH76" s="5">
        <v>0</v>
      </c>
      <c r="BI76" s="5" t="s">
        <v>154</v>
      </c>
      <c r="BJ76" s="5">
        <v>2</v>
      </c>
      <c r="BK76" s="5"/>
      <c r="BL76" s="5" t="b">
        <v>0</v>
      </c>
      <c r="BM76" s="5">
        <v>0</v>
      </c>
      <c r="BN76" s="5">
        <v>0</v>
      </c>
      <c r="BO76" s="5" t="s">
        <v>155</v>
      </c>
      <c r="BP76" s="5">
        <v>128</v>
      </c>
      <c r="BQ76" s="5" t="s">
        <v>156</v>
      </c>
      <c r="BR76" s="5">
        <v>2</v>
      </c>
      <c r="BS76" s="5" t="s">
        <v>157</v>
      </c>
      <c r="BT76" s="5">
        <v>0</v>
      </c>
      <c r="BU76" s="5">
        <v>96</v>
      </c>
      <c r="BV76" s="5" t="b">
        <v>0</v>
      </c>
      <c r="BW76" s="5">
        <v>1000</v>
      </c>
      <c r="BX76" s="5">
        <v>0.3</v>
      </c>
      <c r="BY76" s="5" t="b">
        <v>0</v>
      </c>
      <c r="BZ76" s="5" t="s">
        <v>854</v>
      </c>
      <c r="CA76" s="5" t="s">
        <v>15</v>
      </c>
      <c r="CB76" s="5" t="s">
        <v>855</v>
      </c>
      <c r="CC76" s="5" t="s">
        <v>160</v>
      </c>
      <c r="CD76" s="5">
        <v>62</v>
      </c>
      <c r="CE76" s="5">
        <v>32</v>
      </c>
      <c r="CF76" s="5" t="b">
        <v>0</v>
      </c>
      <c r="CG76" s="5" t="s">
        <v>161</v>
      </c>
      <c r="CH76" s="5">
        <v>48</v>
      </c>
      <c r="CI76" s="5">
        <v>1</v>
      </c>
      <c r="CJ76" s="5">
        <v>0.25</v>
      </c>
      <c r="CK76" s="5">
        <v>7</v>
      </c>
      <c r="CL76" s="5" t="s">
        <v>856</v>
      </c>
      <c r="CM76" s="5">
        <v>7</v>
      </c>
      <c r="CN76" s="5" t="s">
        <v>163</v>
      </c>
      <c r="CO76" s="5">
        <v>0</v>
      </c>
      <c r="CP76" s="5" t="s">
        <v>194</v>
      </c>
      <c r="CQ76" s="5" t="s">
        <v>164</v>
      </c>
      <c r="CR76" s="5" t="s">
        <v>853</v>
      </c>
      <c r="CS76" s="5">
        <v>144</v>
      </c>
      <c r="CT76" s="5" t="b">
        <v>0</v>
      </c>
      <c r="CU76" s="5" t="s">
        <v>165</v>
      </c>
      <c r="CV76" s="5" t="b">
        <v>1</v>
      </c>
      <c r="CW76" s="5" t="b">
        <v>0</v>
      </c>
      <c r="CX76" s="5">
        <v>1</v>
      </c>
      <c r="CY76" s="5">
        <v>2</v>
      </c>
      <c r="CZ76" s="5" t="b">
        <v>0</v>
      </c>
      <c r="DA76" s="5" t="b">
        <v>0</v>
      </c>
      <c r="DB76" s="5" t="b">
        <v>0</v>
      </c>
      <c r="DC76" s="5" t="s">
        <v>166</v>
      </c>
      <c r="DD76" s="5" t="s">
        <v>167</v>
      </c>
      <c r="DE76" s="5" t="s">
        <v>168</v>
      </c>
      <c r="DF76" s="5">
        <v>0.5</v>
      </c>
      <c r="DG76" s="5">
        <v>10</v>
      </c>
      <c r="DH76" s="5">
        <v>0.3</v>
      </c>
      <c r="DI76" s="5">
        <v>1</v>
      </c>
      <c r="DJ76" s="5">
        <v>1</v>
      </c>
      <c r="DK76" s="5" t="s">
        <v>169</v>
      </c>
      <c r="DL76" s="5" t="b">
        <v>0</v>
      </c>
      <c r="DM76" s="5">
        <v>32</v>
      </c>
      <c r="DN76" s="5">
        <v>1</v>
      </c>
      <c r="DO76" s="5" t="s">
        <v>170</v>
      </c>
      <c r="DP76" s="5" t="s">
        <v>855</v>
      </c>
      <c r="DQ76" s="5" t="s">
        <v>171</v>
      </c>
      <c r="DR76" s="5" t="s">
        <v>172</v>
      </c>
      <c r="DS76" s="7" t="str">
        <f>_xlfn.XLOOKUP(CP76,datasetmap!B:B,datasetmap!A:A)</f>
        <v>FD</v>
      </c>
      <c r="DT76" s="8">
        <f t="shared" si="1"/>
        <v>227.00948992</v>
      </c>
    </row>
    <row r="77" ht="17.6" spans="1:124">
      <c r="A77" s="5" t="s">
        <v>857</v>
      </c>
      <c r="B77" s="5">
        <v>32</v>
      </c>
      <c r="C77" s="5" t="s">
        <v>141</v>
      </c>
      <c r="D77" s="5" t="s">
        <v>858</v>
      </c>
      <c r="E77" s="5" t="s">
        <v>859</v>
      </c>
      <c r="F77" s="5" t="s">
        <v>860</v>
      </c>
      <c r="G77" s="6">
        <v>1.77898172806997e+18</v>
      </c>
      <c r="H77" s="5">
        <v>0.970787444674639</v>
      </c>
      <c r="I77" s="5">
        <v>0.97029917765279</v>
      </c>
      <c r="J77" s="5">
        <v>2.114899779</v>
      </c>
      <c r="K77" s="5">
        <v>0.970787444674639</v>
      </c>
      <c r="L77" s="6">
        <v>1.77898172806992e+18</v>
      </c>
      <c r="M77" s="5">
        <v>0.97027027027027</v>
      </c>
      <c r="N77" s="6">
        <v>1.77898173097039e+18</v>
      </c>
      <c r="O77" s="6">
        <v>1.77898113796807e+18</v>
      </c>
      <c r="P77" s="5">
        <v>564.343252152</v>
      </c>
      <c r="Q77" s="5">
        <v>0.25</v>
      </c>
      <c r="R77" s="5">
        <v>6</v>
      </c>
      <c r="S77" s="5" t="s">
        <v>145</v>
      </c>
      <c r="T77" s="5" t="s">
        <v>146</v>
      </c>
      <c r="U77" s="5" t="b">
        <v>0</v>
      </c>
      <c r="V77" s="5">
        <v>25</v>
      </c>
      <c r="W77" s="5">
        <v>0</v>
      </c>
      <c r="X77" s="5">
        <v>10</v>
      </c>
      <c r="Y77" s="5">
        <v>8</v>
      </c>
      <c r="Z77" s="5" t="b">
        <v>0</v>
      </c>
      <c r="AA77" s="5">
        <v>4</v>
      </c>
      <c r="AB77" s="5" t="b">
        <v>0</v>
      </c>
      <c r="AC77" s="5" t="b">
        <v>0</v>
      </c>
      <c r="AD77" s="5" t="s">
        <v>147</v>
      </c>
      <c r="AE77" s="5" t="s">
        <v>861</v>
      </c>
      <c r="AF77" s="5">
        <v>1</v>
      </c>
      <c r="AG77" s="5" t="b">
        <v>0</v>
      </c>
      <c r="AH77" s="5" t="b">
        <v>0</v>
      </c>
      <c r="AI77" s="5" t="s">
        <v>149</v>
      </c>
      <c r="AJ77" s="5">
        <v>3</v>
      </c>
      <c r="AK77" s="5" t="b">
        <v>0</v>
      </c>
      <c r="AL77" s="5">
        <v>9</v>
      </c>
      <c r="AM77" s="5">
        <v>0</v>
      </c>
      <c r="AN77" s="5">
        <v>0</v>
      </c>
      <c r="AO77" s="5" t="b">
        <v>0</v>
      </c>
      <c r="AP77" s="5">
        <v>0.001</v>
      </c>
      <c r="AQ77" s="5">
        <v>256</v>
      </c>
      <c r="AR77" s="5" t="b">
        <v>1</v>
      </c>
      <c r="AS77" s="5">
        <v>1</v>
      </c>
      <c r="AT77" s="5">
        <v>3</v>
      </c>
      <c r="AU77" s="5">
        <v>0.1</v>
      </c>
      <c r="AV77" s="5">
        <v>0.1</v>
      </c>
      <c r="AW77" s="5" t="b">
        <v>0</v>
      </c>
      <c r="AX77" s="5">
        <v>32</v>
      </c>
      <c r="AY77" s="5">
        <v>123</v>
      </c>
      <c r="AZ77" s="5">
        <v>1</v>
      </c>
      <c r="BA77" s="5">
        <v>16</v>
      </c>
      <c r="BB77" s="5" t="s">
        <v>222</v>
      </c>
      <c r="BC77" s="5" t="s">
        <v>151</v>
      </c>
      <c r="BD77" s="5">
        <v>10</v>
      </c>
      <c r="BE77" s="5" t="b">
        <v>0</v>
      </c>
      <c r="BF77" s="5" t="s">
        <v>152</v>
      </c>
      <c r="BG77" s="5" t="s">
        <v>862</v>
      </c>
      <c r="BH77" s="5">
        <v>0</v>
      </c>
      <c r="BI77" s="5" t="s">
        <v>154</v>
      </c>
      <c r="BJ77" s="5">
        <v>2</v>
      </c>
      <c r="BK77" s="5"/>
      <c r="BL77" s="5" t="b">
        <v>0</v>
      </c>
      <c r="BM77" s="5">
        <v>0</v>
      </c>
      <c r="BN77" s="5">
        <v>0</v>
      </c>
      <c r="BO77" s="5" t="s">
        <v>155</v>
      </c>
      <c r="BP77" s="5">
        <v>128</v>
      </c>
      <c r="BQ77" s="5" t="s">
        <v>156</v>
      </c>
      <c r="BR77" s="5">
        <v>2</v>
      </c>
      <c r="BS77" s="5" t="s">
        <v>157</v>
      </c>
      <c r="BT77" s="5">
        <v>0</v>
      </c>
      <c r="BU77" s="5">
        <v>96</v>
      </c>
      <c r="BV77" s="5" t="b">
        <v>0</v>
      </c>
      <c r="BW77" s="5">
        <v>1000</v>
      </c>
      <c r="BX77" s="5">
        <v>0.3</v>
      </c>
      <c r="BY77" s="5" t="b">
        <v>0</v>
      </c>
      <c r="BZ77" s="5" t="s">
        <v>863</v>
      </c>
      <c r="CA77" s="5" t="s">
        <v>15</v>
      </c>
      <c r="CB77" s="5" t="s">
        <v>864</v>
      </c>
      <c r="CC77" s="5" t="s">
        <v>160</v>
      </c>
      <c r="CD77" s="5">
        <v>29</v>
      </c>
      <c r="CE77" s="5">
        <v>32</v>
      </c>
      <c r="CF77" s="5" t="b">
        <v>0</v>
      </c>
      <c r="CG77" s="5" t="s">
        <v>161</v>
      </c>
      <c r="CH77" s="5">
        <v>48</v>
      </c>
      <c r="CI77" s="5">
        <v>1</v>
      </c>
      <c r="CJ77" s="5">
        <v>0.25</v>
      </c>
      <c r="CK77" s="5">
        <v>7</v>
      </c>
      <c r="CL77" s="5" t="s">
        <v>865</v>
      </c>
      <c r="CM77" s="5">
        <v>7</v>
      </c>
      <c r="CN77" s="5" t="s">
        <v>163</v>
      </c>
      <c r="CO77" s="5">
        <v>0</v>
      </c>
      <c r="CP77" s="5" t="s">
        <v>227</v>
      </c>
      <c r="CQ77" s="5" t="s">
        <v>164</v>
      </c>
      <c r="CR77" s="5" t="s">
        <v>862</v>
      </c>
      <c r="CS77" s="5">
        <v>12</v>
      </c>
      <c r="CT77" s="5" t="b">
        <v>0</v>
      </c>
      <c r="CU77" s="5" t="s">
        <v>165</v>
      </c>
      <c r="CV77" s="5" t="b">
        <v>1</v>
      </c>
      <c r="CW77" s="5" t="b">
        <v>0</v>
      </c>
      <c r="CX77" s="5">
        <v>1</v>
      </c>
      <c r="CY77" s="5">
        <v>2</v>
      </c>
      <c r="CZ77" s="5" t="b">
        <v>0</v>
      </c>
      <c r="DA77" s="5" t="b">
        <v>0</v>
      </c>
      <c r="DB77" s="5" t="b">
        <v>0</v>
      </c>
      <c r="DC77" s="5" t="s">
        <v>166</v>
      </c>
      <c r="DD77" s="5" t="s">
        <v>167</v>
      </c>
      <c r="DE77" s="5" t="s">
        <v>168</v>
      </c>
      <c r="DF77" s="5">
        <v>0.5</v>
      </c>
      <c r="DG77" s="5">
        <v>10</v>
      </c>
      <c r="DH77" s="5">
        <v>0.3</v>
      </c>
      <c r="DI77" s="5">
        <v>1</v>
      </c>
      <c r="DJ77" s="5">
        <v>1</v>
      </c>
      <c r="DK77" s="5" t="s">
        <v>169</v>
      </c>
      <c r="DL77" s="5" t="b">
        <v>0</v>
      </c>
      <c r="DM77" s="5">
        <v>32</v>
      </c>
      <c r="DN77" s="5">
        <v>1</v>
      </c>
      <c r="DO77" s="5" t="s">
        <v>170</v>
      </c>
      <c r="DP77" s="5" t="s">
        <v>864</v>
      </c>
      <c r="DQ77" s="5" t="s">
        <v>171</v>
      </c>
      <c r="DR77" s="5" t="s">
        <v>172</v>
      </c>
      <c r="DS77" s="7" t="str">
        <f>_xlfn.XLOOKUP(CP77,datasetmap!B:B,datasetmap!A:A)</f>
        <v>JV</v>
      </c>
      <c r="DT77" s="8">
        <f t="shared" si="1"/>
        <v>2.900420096</v>
      </c>
    </row>
    <row r="78" ht="17.6" spans="1:124">
      <c r="A78" s="5" t="s">
        <v>866</v>
      </c>
      <c r="B78" s="5">
        <v>32</v>
      </c>
      <c r="C78" s="5" t="s">
        <v>141</v>
      </c>
      <c r="D78" s="5" t="s">
        <v>867</v>
      </c>
      <c r="E78" s="5" t="s">
        <v>868</v>
      </c>
      <c r="F78" s="5" t="s">
        <v>869</v>
      </c>
      <c r="G78" s="6">
        <v>1.77898102428991e+18</v>
      </c>
      <c r="H78" s="5">
        <v>0.784390243902439</v>
      </c>
      <c r="I78" s="5">
        <v>0.739942983845422</v>
      </c>
      <c r="J78" s="5">
        <v>5.852361772</v>
      </c>
      <c r="K78" s="5">
        <v>0.784390243902439</v>
      </c>
      <c r="L78" s="6">
        <v>1.77898102428978e+18</v>
      </c>
      <c r="M78" s="5">
        <v>0.780487804878048</v>
      </c>
      <c r="N78" s="6">
        <v>1.77898105913265e+18</v>
      </c>
      <c r="O78" s="6">
        <v>1.77898043227976e+18</v>
      </c>
      <c r="P78" s="5">
        <v>503.483916873</v>
      </c>
      <c r="Q78" s="5">
        <v>0.25</v>
      </c>
      <c r="R78" s="5">
        <v>6</v>
      </c>
      <c r="S78" s="5" t="s">
        <v>145</v>
      </c>
      <c r="T78" s="5" t="s">
        <v>146</v>
      </c>
      <c r="U78" s="5" t="b">
        <v>0</v>
      </c>
      <c r="V78" s="5">
        <v>25</v>
      </c>
      <c r="W78" s="5">
        <v>0</v>
      </c>
      <c r="X78" s="5">
        <v>10</v>
      </c>
      <c r="Y78" s="5">
        <v>8</v>
      </c>
      <c r="Z78" s="5" t="b">
        <v>0</v>
      </c>
      <c r="AA78" s="5">
        <v>4</v>
      </c>
      <c r="AB78" s="5" t="b">
        <v>0</v>
      </c>
      <c r="AC78" s="5" t="b">
        <v>0</v>
      </c>
      <c r="AD78" s="5" t="s">
        <v>147</v>
      </c>
      <c r="AE78" s="5" t="s">
        <v>870</v>
      </c>
      <c r="AF78" s="5">
        <v>1</v>
      </c>
      <c r="AG78" s="5" t="b">
        <v>0</v>
      </c>
      <c r="AH78" s="5" t="b">
        <v>0</v>
      </c>
      <c r="AI78" s="5" t="s">
        <v>149</v>
      </c>
      <c r="AJ78" s="5">
        <v>3</v>
      </c>
      <c r="AK78" s="5" t="b">
        <v>0</v>
      </c>
      <c r="AL78" s="5">
        <v>2</v>
      </c>
      <c r="AM78" s="5">
        <v>0</v>
      </c>
      <c r="AN78" s="5">
        <v>0</v>
      </c>
      <c r="AO78" s="5" t="b">
        <v>0</v>
      </c>
      <c r="AP78" s="5">
        <v>0.001</v>
      </c>
      <c r="AQ78" s="5">
        <v>256</v>
      </c>
      <c r="AR78" s="5" t="b">
        <v>1</v>
      </c>
      <c r="AS78" s="5">
        <v>1</v>
      </c>
      <c r="AT78" s="5">
        <v>3</v>
      </c>
      <c r="AU78" s="5">
        <v>0.1</v>
      </c>
      <c r="AV78" s="5">
        <v>0.1</v>
      </c>
      <c r="AW78" s="5" t="b">
        <v>0</v>
      </c>
      <c r="AX78" s="5">
        <v>32</v>
      </c>
      <c r="AY78" s="5">
        <v>123</v>
      </c>
      <c r="AZ78" s="5">
        <v>1</v>
      </c>
      <c r="BA78" s="5">
        <v>16</v>
      </c>
      <c r="BB78" s="5" t="s">
        <v>233</v>
      </c>
      <c r="BC78" s="5" t="s">
        <v>151</v>
      </c>
      <c r="BD78" s="5">
        <v>10</v>
      </c>
      <c r="BE78" s="5" t="b">
        <v>0</v>
      </c>
      <c r="BF78" s="5" t="s">
        <v>152</v>
      </c>
      <c r="BG78" s="5" t="s">
        <v>871</v>
      </c>
      <c r="BH78" s="5">
        <v>0</v>
      </c>
      <c r="BI78" s="5" t="s">
        <v>154</v>
      </c>
      <c r="BJ78" s="5">
        <v>2</v>
      </c>
      <c r="BK78" s="5"/>
      <c r="BL78" s="5" t="b">
        <v>0</v>
      </c>
      <c r="BM78" s="5">
        <v>0</v>
      </c>
      <c r="BN78" s="5">
        <v>0</v>
      </c>
      <c r="BO78" s="5" t="s">
        <v>155</v>
      </c>
      <c r="BP78" s="5">
        <v>128</v>
      </c>
      <c r="BQ78" s="5" t="s">
        <v>156</v>
      </c>
      <c r="BR78" s="5">
        <v>2</v>
      </c>
      <c r="BS78" s="5" t="s">
        <v>157</v>
      </c>
      <c r="BT78" s="5">
        <v>0</v>
      </c>
      <c r="BU78" s="5">
        <v>96</v>
      </c>
      <c r="BV78" s="5" t="b">
        <v>0</v>
      </c>
      <c r="BW78" s="5">
        <v>1000</v>
      </c>
      <c r="BX78" s="5">
        <v>0.3</v>
      </c>
      <c r="BY78" s="5" t="b">
        <v>0</v>
      </c>
      <c r="BZ78" s="5" t="s">
        <v>872</v>
      </c>
      <c r="CA78" s="5" t="s">
        <v>15</v>
      </c>
      <c r="CB78" s="5" t="s">
        <v>873</v>
      </c>
      <c r="CC78" s="5" t="s">
        <v>160</v>
      </c>
      <c r="CD78" s="5">
        <v>405</v>
      </c>
      <c r="CE78" s="5">
        <v>32</v>
      </c>
      <c r="CF78" s="5" t="b">
        <v>0</v>
      </c>
      <c r="CG78" s="5" t="s">
        <v>161</v>
      </c>
      <c r="CH78" s="5">
        <v>48</v>
      </c>
      <c r="CI78" s="5">
        <v>1</v>
      </c>
      <c r="CJ78" s="5">
        <v>0.25</v>
      </c>
      <c r="CK78" s="5">
        <v>7</v>
      </c>
      <c r="CL78" s="5" t="s">
        <v>874</v>
      </c>
      <c r="CM78" s="5">
        <v>7</v>
      </c>
      <c r="CN78" s="5" t="s">
        <v>163</v>
      </c>
      <c r="CO78" s="5">
        <v>0</v>
      </c>
      <c r="CP78" s="5" t="s">
        <v>238</v>
      </c>
      <c r="CQ78" s="5" t="s">
        <v>164</v>
      </c>
      <c r="CR78" s="5" t="s">
        <v>871</v>
      </c>
      <c r="CS78" s="5">
        <v>61</v>
      </c>
      <c r="CT78" s="5" t="b">
        <v>0</v>
      </c>
      <c r="CU78" s="5" t="s">
        <v>165</v>
      </c>
      <c r="CV78" s="5" t="b">
        <v>1</v>
      </c>
      <c r="CW78" s="5" t="b">
        <v>0</v>
      </c>
      <c r="CX78" s="5">
        <v>1</v>
      </c>
      <c r="CY78" s="5">
        <v>2</v>
      </c>
      <c r="CZ78" s="5" t="b">
        <v>0</v>
      </c>
      <c r="DA78" s="5" t="b">
        <v>0</v>
      </c>
      <c r="DB78" s="5" t="b">
        <v>0</v>
      </c>
      <c r="DC78" s="5" t="s">
        <v>166</v>
      </c>
      <c r="DD78" s="5" t="s">
        <v>167</v>
      </c>
      <c r="DE78" s="5" t="s">
        <v>168</v>
      </c>
      <c r="DF78" s="5">
        <v>0.5</v>
      </c>
      <c r="DG78" s="5">
        <v>10</v>
      </c>
      <c r="DH78" s="5">
        <v>0.3</v>
      </c>
      <c r="DI78" s="5">
        <v>1</v>
      </c>
      <c r="DJ78" s="5">
        <v>1</v>
      </c>
      <c r="DK78" s="5" t="s">
        <v>169</v>
      </c>
      <c r="DL78" s="5" t="b">
        <v>0</v>
      </c>
      <c r="DM78" s="5">
        <v>32</v>
      </c>
      <c r="DN78" s="5">
        <v>1</v>
      </c>
      <c r="DO78" s="5" t="s">
        <v>170</v>
      </c>
      <c r="DP78" s="5" t="s">
        <v>873</v>
      </c>
      <c r="DQ78" s="5" t="s">
        <v>171</v>
      </c>
      <c r="DR78" s="5" t="s">
        <v>172</v>
      </c>
      <c r="DS78" s="7" t="str">
        <f>_xlfn.XLOOKUP(CP78,datasetmap!B:B,datasetmap!A:A)</f>
        <v>HB</v>
      </c>
      <c r="DT78" s="8">
        <f t="shared" si="1"/>
        <v>34.842739968</v>
      </c>
    </row>
    <row r="79" ht="17.6" spans="1:124">
      <c r="A79" s="5" t="s">
        <v>875</v>
      </c>
      <c r="B79" s="5">
        <v>32</v>
      </c>
      <c r="C79" s="5" t="s">
        <v>141</v>
      </c>
      <c r="D79" s="5" t="s">
        <v>876</v>
      </c>
      <c r="E79" s="5" t="s">
        <v>877</v>
      </c>
      <c r="F79" s="5" t="s">
        <v>878</v>
      </c>
      <c r="G79" s="6">
        <v>1.77898018823295e+18</v>
      </c>
      <c r="H79" s="5">
        <v>0.357463175266312</v>
      </c>
      <c r="I79" s="5">
        <v>0.311005748439555</v>
      </c>
      <c r="J79" s="5">
        <v>19.503026309</v>
      </c>
      <c r="K79" s="5">
        <v>0.357463175266312</v>
      </c>
      <c r="L79" s="6">
        <v>1.7789801882329e+18</v>
      </c>
      <c r="M79" s="5">
        <v>0.338823529411764</v>
      </c>
      <c r="N79" s="6">
        <v>1.77898021319208e+18</v>
      </c>
      <c r="O79" s="6">
        <v>1.77897900049102e+18</v>
      </c>
      <c r="P79" s="5">
        <v>1184.386265883</v>
      </c>
      <c r="Q79" s="5">
        <v>0.25</v>
      </c>
      <c r="R79" s="5">
        <v>6</v>
      </c>
      <c r="S79" s="5" t="s">
        <v>145</v>
      </c>
      <c r="T79" s="5" t="s">
        <v>146</v>
      </c>
      <c r="U79" s="5" t="b">
        <v>0</v>
      </c>
      <c r="V79" s="5">
        <v>25</v>
      </c>
      <c r="W79" s="5">
        <v>0</v>
      </c>
      <c r="X79" s="5">
        <v>10</v>
      </c>
      <c r="Y79" s="5">
        <v>8</v>
      </c>
      <c r="Z79" s="5" t="b">
        <v>0</v>
      </c>
      <c r="AA79" s="5">
        <v>4</v>
      </c>
      <c r="AB79" s="5" t="b">
        <v>0</v>
      </c>
      <c r="AC79" s="5" t="b">
        <v>0</v>
      </c>
      <c r="AD79" s="5" t="s">
        <v>147</v>
      </c>
      <c r="AE79" s="5" t="s">
        <v>879</v>
      </c>
      <c r="AF79" s="5">
        <v>1</v>
      </c>
      <c r="AG79" s="5" t="b">
        <v>0</v>
      </c>
      <c r="AH79" s="5" t="b">
        <v>0</v>
      </c>
      <c r="AI79" s="5" t="s">
        <v>149</v>
      </c>
      <c r="AJ79" s="5">
        <v>3</v>
      </c>
      <c r="AK79" s="5" t="b">
        <v>0</v>
      </c>
      <c r="AL79" s="5">
        <v>26</v>
      </c>
      <c r="AM79" s="5">
        <v>0</v>
      </c>
      <c r="AN79" s="5">
        <v>0</v>
      </c>
      <c r="AO79" s="5" t="b">
        <v>0</v>
      </c>
      <c r="AP79" s="5">
        <v>0.001</v>
      </c>
      <c r="AQ79" s="5">
        <v>256</v>
      </c>
      <c r="AR79" s="5" t="b">
        <v>1</v>
      </c>
      <c r="AS79" s="5">
        <v>1</v>
      </c>
      <c r="AT79" s="5">
        <v>3</v>
      </c>
      <c r="AU79" s="5">
        <v>0.1</v>
      </c>
      <c r="AV79" s="5">
        <v>0.1</v>
      </c>
      <c r="AW79" s="5" t="b">
        <v>0</v>
      </c>
      <c r="AX79" s="5">
        <v>32</v>
      </c>
      <c r="AY79" s="5">
        <v>123</v>
      </c>
      <c r="AZ79" s="5">
        <v>1</v>
      </c>
      <c r="BA79" s="5">
        <v>16</v>
      </c>
      <c r="BB79" s="5" t="s">
        <v>244</v>
      </c>
      <c r="BC79" s="5" t="s">
        <v>151</v>
      </c>
      <c r="BD79" s="5">
        <v>10</v>
      </c>
      <c r="BE79" s="5" t="b">
        <v>0</v>
      </c>
      <c r="BF79" s="5" t="s">
        <v>152</v>
      </c>
      <c r="BG79" s="5" t="s">
        <v>880</v>
      </c>
      <c r="BH79" s="5">
        <v>0</v>
      </c>
      <c r="BI79" s="5" t="s">
        <v>154</v>
      </c>
      <c r="BJ79" s="5">
        <v>2</v>
      </c>
      <c r="BK79" s="5"/>
      <c r="BL79" s="5" t="b">
        <v>0</v>
      </c>
      <c r="BM79" s="5">
        <v>0</v>
      </c>
      <c r="BN79" s="5">
        <v>0</v>
      </c>
      <c r="BO79" s="5" t="s">
        <v>155</v>
      </c>
      <c r="BP79" s="5">
        <v>128</v>
      </c>
      <c r="BQ79" s="5" t="s">
        <v>156</v>
      </c>
      <c r="BR79" s="5">
        <v>2</v>
      </c>
      <c r="BS79" s="5" t="s">
        <v>157</v>
      </c>
      <c r="BT79" s="5">
        <v>0</v>
      </c>
      <c r="BU79" s="5">
        <v>96</v>
      </c>
      <c r="BV79" s="5" t="b">
        <v>0</v>
      </c>
      <c r="BW79" s="5">
        <v>1000</v>
      </c>
      <c r="BX79" s="5">
        <v>0.3</v>
      </c>
      <c r="BY79" s="5" t="b">
        <v>0</v>
      </c>
      <c r="BZ79" s="5" t="s">
        <v>881</v>
      </c>
      <c r="CA79" s="5" t="s">
        <v>15</v>
      </c>
      <c r="CB79" s="5" t="s">
        <v>882</v>
      </c>
      <c r="CC79" s="5" t="s">
        <v>160</v>
      </c>
      <c r="CD79" s="5">
        <v>152</v>
      </c>
      <c r="CE79" s="5">
        <v>32</v>
      </c>
      <c r="CF79" s="5" t="b">
        <v>0</v>
      </c>
      <c r="CG79" s="5" t="s">
        <v>161</v>
      </c>
      <c r="CH79" s="5">
        <v>48</v>
      </c>
      <c r="CI79" s="5">
        <v>1</v>
      </c>
      <c r="CJ79" s="5">
        <v>0.25</v>
      </c>
      <c r="CK79" s="5">
        <v>7</v>
      </c>
      <c r="CL79" s="5" t="s">
        <v>883</v>
      </c>
      <c r="CM79" s="5">
        <v>7</v>
      </c>
      <c r="CN79" s="5" t="s">
        <v>163</v>
      </c>
      <c r="CO79" s="5">
        <v>0</v>
      </c>
      <c r="CP79" s="5" t="s">
        <v>249</v>
      </c>
      <c r="CQ79" s="5" t="s">
        <v>164</v>
      </c>
      <c r="CR79" s="5" t="s">
        <v>880</v>
      </c>
      <c r="CS79" s="5">
        <v>3</v>
      </c>
      <c r="CT79" s="5" t="b">
        <v>0</v>
      </c>
      <c r="CU79" s="5" t="s">
        <v>165</v>
      </c>
      <c r="CV79" s="5" t="b">
        <v>1</v>
      </c>
      <c r="CW79" s="5" t="b">
        <v>0</v>
      </c>
      <c r="CX79" s="5">
        <v>1</v>
      </c>
      <c r="CY79" s="5">
        <v>2</v>
      </c>
      <c r="CZ79" s="5" t="b">
        <v>0</v>
      </c>
      <c r="DA79" s="5" t="b">
        <v>0</v>
      </c>
      <c r="DB79" s="5" t="b">
        <v>0</v>
      </c>
      <c r="DC79" s="5" t="s">
        <v>166</v>
      </c>
      <c r="DD79" s="5" t="s">
        <v>167</v>
      </c>
      <c r="DE79" s="5" t="s">
        <v>168</v>
      </c>
      <c r="DF79" s="5">
        <v>0.5</v>
      </c>
      <c r="DG79" s="5">
        <v>10</v>
      </c>
      <c r="DH79" s="5">
        <v>0.3</v>
      </c>
      <c r="DI79" s="5">
        <v>1</v>
      </c>
      <c r="DJ79" s="5">
        <v>1</v>
      </c>
      <c r="DK79" s="5" t="s">
        <v>169</v>
      </c>
      <c r="DL79" s="5" t="b">
        <v>0</v>
      </c>
      <c r="DM79" s="5">
        <v>32</v>
      </c>
      <c r="DN79" s="5">
        <v>1</v>
      </c>
      <c r="DO79" s="5" t="s">
        <v>170</v>
      </c>
      <c r="DP79" s="5" t="s">
        <v>882</v>
      </c>
      <c r="DQ79" s="5" t="s">
        <v>171</v>
      </c>
      <c r="DR79" s="5" t="s">
        <v>172</v>
      </c>
      <c r="DS79" s="7" t="str">
        <f>_xlfn.XLOOKUP(CP79,datasetmap!B:B,datasetmap!A:A)</f>
        <v>HW</v>
      </c>
      <c r="DT79" s="8">
        <f t="shared" si="1"/>
        <v>24.959129856</v>
      </c>
    </row>
    <row r="80" ht="17.6" spans="1:124">
      <c r="A80" s="5" t="s">
        <v>884</v>
      </c>
      <c r="B80" s="5">
        <v>32</v>
      </c>
      <c r="C80" s="5" t="s">
        <v>141</v>
      </c>
      <c r="D80" s="5" t="s">
        <v>885</v>
      </c>
      <c r="E80" s="5" t="s">
        <v>886</v>
      </c>
      <c r="F80" s="5" t="s">
        <v>887</v>
      </c>
      <c r="G80" s="6">
        <v>1.77897897747119e+18</v>
      </c>
      <c r="H80" s="5">
        <v>0.341619437071047</v>
      </c>
      <c r="I80" s="5">
        <v>0.235058161075361</v>
      </c>
      <c r="J80" s="5">
        <v>7.990568725</v>
      </c>
      <c r="K80" s="5">
        <v>0.341619437071047</v>
      </c>
      <c r="L80" s="6">
        <v>1.77897897747115e+18</v>
      </c>
      <c r="M80" s="5">
        <v>0.292775665399239</v>
      </c>
      <c r="N80" s="6">
        <v>1.77897898601755e+18</v>
      </c>
      <c r="O80" s="6">
        <v>1.778978464787e+18</v>
      </c>
      <c r="P80" s="5">
        <v>509.869594673</v>
      </c>
      <c r="Q80" s="5">
        <v>0.25</v>
      </c>
      <c r="R80" s="5">
        <v>6</v>
      </c>
      <c r="S80" s="5" t="s">
        <v>145</v>
      </c>
      <c r="T80" s="5" t="s">
        <v>146</v>
      </c>
      <c r="U80" s="5" t="b">
        <v>0</v>
      </c>
      <c r="V80" s="5">
        <v>25</v>
      </c>
      <c r="W80" s="5">
        <v>0</v>
      </c>
      <c r="X80" s="5">
        <v>10</v>
      </c>
      <c r="Y80" s="5">
        <v>8</v>
      </c>
      <c r="Z80" s="5" t="b">
        <v>0</v>
      </c>
      <c r="AA80" s="5">
        <v>4</v>
      </c>
      <c r="AB80" s="5" t="b">
        <v>0</v>
      </c>
      <c r="AC80" s="5" t="b">
        <v>0</v>
      </c>
      <c r="AD80" s="5" t="s">
        <v>147</v>
      </c>
      <c r="AE80" s="5" t="s">
        <v>888</v>
      </c>
      <c r="AF80" s="5">
        <v>1</v>
      </c>
      <c r="AG80" s="5" t="b">
        <v>0</v>
      </c>
      <c r="AH80" s="5" t="b">
        <v>0</v>
      </c>
      <c r="AI80" s="5" t="s">
        <v>149</v>
      </c>
      <c r="AJ80" s="5">
        <v>3</v>
      </c>
      <c r="AK80" s="5" t="b">
        <v>0</v>
      </c>
      <c r="AL80" s="5">
        <v>4</v>
      </c>
      <c r="AM80" s="5">
        <v>0</v>
      </c>
      <c r="AN80" s="5">
        <v>0</v>
      </c>
      <c r="AO80" s="5" t="b">
        <v>0</v>
      </c>
      <c r="AP80" s="5">
        <v>0.001</v>
      </c>
      <c r="AQ80" s="5">
        <v>256</v>
      </c>
      <c r="AR80" s="5" t="b">
        <v>1</v>
      </c>
      <c r="AS80" s="5">
        <v>1</v>
      </c>
      <c r="AT80" s="5">
        <v>3</v>
      </c>
      <c r="AU80" s="5">
        <v>0.1</v>
      </c>
      <c r="AV80" s="5">
        <v>0.1</v>
      </c>
      <c r="AW80" s="5" t="b">
        <v>0</v>
      </c>
      <c r="AX80" s="5">
        <v>32</v>
      </c>
      <c r="AY80" s="5">
        <v>123</v>
      </c>
      <c r="AZ80" s="5">
        <v>1</v>
      </c>
      <c r="BA80" s="5">
        <v>16</v>
      </c>
      <c r="BB80" s="5" t="s">
        <v>264</v>
      </c>
      <c r="BC80" s="5" t="s">
        <v>151</v>
      </c>
      <c r="BD80" s="5">
        <v>10</v>
      </c>
      <c r="BE80" s="5" t="b">
        <v>0</v>
      </c>
      <c r="BF80" s="5" t="s">
        <v>152</v>
      </c>
      <c r="BG80" s="5" t="s">
        <v>889</v>
      </c>
      <c r="BH80" s="5">
        <v>0</v>
      </c>
      <c r="BI80" s="5" t="s">
        <v>154</v>
      </c>
      <c r="BJ80" s="5">
        <v>2</v>
      </c>
      <c r="BK80" s="5"/>
      <c r="BL80" s="5" t="b">
        <v>0</v>
      </c>
      <c r="BM80" s="5">
        <v>0</v>
      </c>
      <c r="BN80" s="5">
        <v>0</v>
      </c>
      <c r="BO80" s="5" t="s">
        <v>155</v>
      </c>
      <c r="BP80" s="5">
        <v>128</v>
      </c>
      <c r="BQ80" s="5" t="s">
        <v>156</v>
      </c>
      <c r="BR80" s="5">
        <v>2</v>
      </c>
      <c r="BS80" s="5" t="s">
        <v>157</v>
      </c>
      <c r="BT80" s="5">
        <v>0</v>
      </c>
      <c r="BU80" s="5">
        <v>96</v>
      </c>
      <c r="BV80" s="5" t="b">
        <v>0</v>
      </c>
      <c r="BW80" s="5">
        <v>1000</v>
      </c>
      <c r="BX80" s="5">
        <v>0.3</v>
      </c>
      <c r="BY80" s="5" t="b">
        <v>0</v>
      </c>
      <c r="BZ80" s="5" t="s">
        <v>890</v>
      </c>
      <c r="CA80" s="5" t="s">
        <v>15</v>
      </c>
      <c r="CB80" s="5" t="s">
        <v>891</v>
      </c>
      <c r="CC80" s="5" t="s">
        <v>160</v>
      </c>
      <c r="CD80" s="5">
        <v>1751</v>
      </c>
      <c r="CE80" s="5">
        <v>32</v>
      </c>
      <c r="CF80" s="5" t="b">
        <v>0</v>
      </c>
      <c r="CG80" s="5" t="s">
        <v>161</v>
      </c>
      <c r="CH80" s="5">
        <v>48</v>
      </c>
      <c r="CI80" s="5">
        <v>1</v>
      </c>
      <c r="CJ80" s="5">
        <v>0.25</v>
      </c>
      <c r="CK80" s="5">
        <v>7</v>
      </c>
      <c r="CL80" s="5" t="s">
        <v>892</v>
      </c>
      <c r="CM80" s="5">
        <v>7</v>
      </c>
      <c r="CN80" s="5" t="s">
        <v>163</v>
      </c>
      <c r="CO80" s="5">
        <v>0</v>
      </c>
      <c r="CP80" s="5" t="s">
        <v>269</v>
      </c>
      <c r="CQ80" s="5" t="s">
        <v>164</v>
      </c>
      <c r="CR80" s="5" t="s">
        <v>889</v>
      </c>
      <c r="CS80" s="5">
        <v>3</v>
      </c>
      <c r="CT80" s="5" t="b">
        <v>0</v>
      </c>
      <c r="CU80" s="5" t="s">
        <v>165</v>
      </c>
      <c r="CV80" s="5" t="b">
        <v>1</v>
      </c>
      <c r="CW80" s="5" t="b">
        <v>0</v>
      </c>
      <c r="CX80" s="5">
        <v>1</v>
      </c>
      <c r="CY80" s="5">
        <v>2</v>
      </c>
      <c r="CZ80" s="5" t="b">
        <v>0</v>
      </c>
      <c r="DA80" s="5" t="b">
        <v>0</v>
      </c>
      <c r="DB80" s="5" t="b">
        <v>0</v>
      </c>
      <c r="DC80" s="5" t="s">
        <v>166</v>
      </c>
      <c r="DD80" s="5" t="s">
        <v>167</v>
      </c>
      <c r="DE80" s="5" t="s">
        <v>168</v>
      </c>
      <c r="DF80" s="5">
        <v>0.5</v>
      </c>
      <c r="DG80" s="5">
        <v>10</v>
      </c>
      <c r="DH80" s="5">
        <v>0.3</v>
      </c>
      <c r="DI80" s="5">
        <v>1</v>
      </c>
      <c r="DJ80" s="5">
        <v>1</v>
      </c>
      <c r="DK80" s="5" t="s">
        <v>169</v>
      </c>
      <c r="DL80" s="5" t="b">
        <v>0</v>
      </c>
      <c r="DM80" s="5">
        <v>32</v>
      </c>
      <c r="DN80" s="5">
        <v>1</v>
      </c>
      <c r="DO80" s="5" t="s">
        <v>170</v>
      </c>
      <c r="DP80" s="5" t="s">
        <v>891</v>
      </c>
      <c r="DQ80" s="5" t="s">
        <v>171</v>
      </c>
      <c r="DR80" s="5" t="s">
        <v>172</v>
      </c>
      <c r="DS80" s="7" t="str">
        <f>_xlfn.XLOOKUP(CP80,datasetmap!B:B,datasetmap!A:A)</f>
        <v>EC</v>
      </c>
      <c r="DT80" s="8">
        <f t="shared" si="1"/>
        <v>8.546360064</v>
      </c>
    </row>
    <row r="81" ht="17.6" spans="1:124">
      <c r="A81" s="5" t="s">
        <v>893</v>
      </c>
      <c r="B81" s="5">
        <v>32</v>
      </c>
      <c r="C81" s="5" t="s">
        <v>141</v>
      </c>
      <c r="D81" s="5" t="s">
        <v>894</v>
      </c>
      <c r="E81" s="5" t="s">
        <v>895</v>
      </c>
      <c r="F81" s="5" t="s">
        <v>896</v>
      </c>
      <c r="G81" s="6">
        <v>1.77897845065807e+18</v>
      </c>
      <c r="H81" s="5">
        <v>0.880617548811421</v>
      </c>
      <c r="I81" s="5">
        <v>0.874651667533331</v>
      </c>
      <c r="J81" s="5">
        <v>5.306343296</v>
      </c>
      <c r="K81" s="5">
        <v>0.880617548811421</v>
      </c>
      <c r="L81" s="6">
        <v>1.778978450658e+18</v>
      </c>
      <c r="M81" s="5">
        <v>0.872832369942196</v>
      </c>
      <c r="N81" s="6">
        <v>1.77897849229535e+18</v>
      </c>
      <c r="O81" s="6">
        <v>1.77897771236755e+18</v>
      </c>
      <c r="P81" s="5">
        <v>262.576496715</v>
      </c>
      <c r="Q81" s="5">
        <v>0.25</v>
      </c>
      <c r="R81" s="5">
        <v>6</v>
      </c>
      <c r="S81" s="5" t="s">
        <v>145</v>
      </c>
      <c r="T81" s="5" t="s">
        <v>146</v>
      </c>
      <c r="U81" s="5" t="b">
        <v>0</v>
      </c>
      <c r="V81" s="5">
        <v>25</v>
      </c>
      <c r="W81" s="5">
        <v>0</v>
      </c>
      <c r="X81" s="5">
        <v>10</v>
      </c>
      <c r="Y81" s="5">
        <v>8</v>
      </c>
      <c r="Z81" s="5" t="b">
        <v>0</v>
      </c>
      <c r="AA81" s="5">
        <v>4</v>
      </c>
      <c r="AB81" s="5" t="b">
        <v>0</v>
      </c>
      <c r="AC81" s="5" t="b">
        <v>0</v>
      </c>
      <c r="AD81" s="5" t="s">
        <v>147</v>
      </c>
      <c r="AE81" s="5" t="s">
        <v>897</v>
      </c>
      <c r="AF81" s="5">
        <v>1</v>
      </c>
      <c r="AG81" s="5" t="b">
        <v>0</v>
      </c>
      <c r="AH81" s="5" t="b">
        <v>0</v>
      </c>
      <c r="AI81" s="5" t="s">
        <v>149</v>
      </c>
      <c r="AJ81" s="5">
        <v>3</v>
      </c>
      <c r="AK81" s="5" t="b">
        <v>0</v>
      </c>
      <c r="AL81" s="5">
        <v>7</v>
      </c>
      <c r="AM81" s="5">
        <v>0</v>
      </c>
      <c r="AN81" s="5">
        <v>0</v>
      </c>
      <c r="AO81" s="5" t="b">
        <v>0</v>
      </c>
      <c r="AP81" s="5">
        <v>0.001</v>
      </c>
      <c r="AQ81" s="5">
        <v>256</v>
      </c>
      <c r="AR81" s="5" t="b">
        <v>1</v>
      </c>
      <c r="AS81" s="5">
        <v>1</v>
      </c>
      <c r="AT81" s="5">
        <v>3</v>
      </c>
      <c r="AU81" s="5">
        <v>0.1</v>
      </c>
      <c r="AV81" s="5">
        <v>0.1</v>
      </c>
      <c r="AW81" s="5" t="b">
        <v>0</v>
      </c>
      <c r="AX81" s="5">
        <v>32</v>
      </c>
      <c r="AY81" s="5">
        <v>42</v>
      </c>
      <c r="AZ81" s="5">
        <v>1</v>
      </c>
      <c r="BA81" s="5">
        <v>16</v>
      </c>
      <c r="BB81" s="5" t="s">
        <v>150</v>
      </c>
      <c r="BC81" s="5" t="s">
        <v>151</v>
      </c>
      <c r="BD81" s="5">
        <v>10</v>
      </c>
      <c r="BE81" s="5" t="b">
        <v>0</v>
      </c>
      <c r="BF81" s="5" t="s">
        <v>152</v>
      </c>
      <c r="BG81" s="5" t="s">
        <v>898</v>
      </c>
      <c r="BH81" s="5">
        <v>0</v>
      </c>
      <c r="BI81" s="5" t="s">
        <v>154</v>
      </c>
      <c r="BJ81" s="5">
        <v>2</v>
      </c>
      <c r="BK81" s="5"/>
      <c r="BL81" s="5" t="b">
        <v>0</v>
      </c>
      <c r="BM81" s="5">
        <v>0</v>
      </c>
      <c r="BN81" s="5">
        <v>0</v>
      </c>
      <c r="BO81" s="5" t="s">
        <v>155</v>
      </c>
      <c r="BP81" s="5">
        <v>128</v>
      </c>
      <c r="BQ81" s="5" t="s">
        <v>156</v>
      </c>
      <c r="BR81" s="5">
        <v>2</v>
      </c>
      <c r="BS81" s="5" t="s">
        <v>157</v>
      </c>
      <c r="BT81" s="5">
        <v>0</v>
      </c>
      <c r="BU81" s="5">
        <v>96</v>
      </c>
      <c r="BV81" s="5" t="b">
        <v>0</v>
      </c>
      <c r="BW81" s="5">
        <v>1000</v>
      </c>
      <c r="BX81" s="5">
        <v>0.3</v>
      </c>
      <c r="BY81" s="5" t="b">
        <v>0</v>
      </c>
      <c r="BZ81" s="5" t="s">
        <v>899</v>
      </c>
      <c r="CA81" s="5" t="s">
        <v>15</v>
      </c>
      <c r="CB81" s="5" t="s">
        <v>900</v>
      </c>
      <c r="CC81" s="5" t="s">
        <v>160</v>
      </c>
      <c r="CD81" s="5">
        <v>144</v>
      </c>
      <c r="CE81" s="5">
        <v>32</v>
      </c>
      <c r="CF81" s="5" t="b">
        <v>0</v>
      </c>
      <c r="CG81" s="5" t="s">
        <v>161</v>
      </c>
      <c r="CH81" s="5">
        <v>48</v>
      </c>
      <c r="CI81" s="5">
        <v>1</v>
      </c>
      <c r="CJ81" s="5">
        <v>0.25</v>
      </c>
      <c r="CK81" s="5">
        <v>7</v>
      </c>
      <c r="CL81" s="5" t="s">
        <v>901</v>
      </c>
      <c r="CM81" s="5">
        <v>7</v>
      </c>
      <c r="CN81" s="5" t="s">
        <v>163</v>
      </c>
      <c r="CO81" s="5">
        <v>0</v>
      </c>
      <c r="CP81" s="5" t="s">
        <v>8</v>
      </c>
      <c r="CQ81" s="5" t="s">
        <v>164</v>
      </c>
      <c r="CR81" s="5" t="s">
        <v>898</v>
      </c>
      <c r="CS81" s="5">
        <v>963</v>
      </c>
      <c r="CT81" s="5" t="b">
        <v>0</v>
      </c>
      <c r="CU81" s="5" t="s">
        <v>165</v>
      </c>
      <c r="CV81" s="5" t="b">
        <v>1</v>
      </c>
      <c r="CW81" s="5" t="b">
        <v>0</v>
      </c>
      <c r="CX81" s="5">
        <v>1</v>
      </c>
      <c r="CY81" s="5">
        <v>2</v>
      </c>
      <c r="CZ81" s="5" t="b">
        <v>0</v>
      </c>
      <c r="DA81" s="5" t="b">
        <v>0</v>
      </c>
      <c r="DB81" s="5" t="b">
        <v>0</v>
      </c>
      <c r="DC81" s="5" t="s">
        <v>166</v>
      </c>
      <c r="DD81" s="5" t="s">
        <v>167</v>
      </c>
      <c r="DE81" s="5" t="s">
        <v>168</v>
      </c>
      <c r="DF81" s="5">
        <v>0.5</v>
      </c>
      <c r="DG81" s="5">
        <v>10</v>
      </c>
      <c r="DH81" s="5">
        <v>0.3</v>
      </c>
      <c r="DI81" s="5">
        <v>1</v>
      </c>
      <c r="DJ81" s="5">
        <v>1</v>
      </c>
      <c r="DK81" s="5" t="s">
        <v>169</v>
      </c>
      <c r="DL81" s="5" t="b">
        <v>0</v>
      </c>
      <c r="DM81" s="5">
        <v>32</v>
      </c>
      <c r="DN81" s="5">
        <v>1</v>
      </c>
      <c r="DO81" s="5" t="s">
        <v>170</v>
      </c>
      <c r="DP81" s="5" t="s">
        <v>900</v>
      </c>
      <c r="DQ81" s="5" t="s">
        <v>171</v>
      </c>
      <c r="DR81" s="5" t="s">
        <v>172</v>
      </c>
      <c r="DS81" s="7" t="str">
        <f>_xlfn.XLOOKUP(CP81,datasetmap!B:B,datasetmap!A:A)</f>
        <v>PEMS-SF</v>
      </c>
      <c r="DT81" s="8">
        <f t="shared" si="1"/>
        <v>41.63728</v>
      </c>
    </row>
    <row r="82" ht="17.6" spans="1:124">
      <c r="A82" s="5" t="s">
        <v>902</v>
      </c>
      <c r="B82" s="5">
        <v>32</v>
      </c>
      <c r="C82" s="5" t="s">
        <v>141</v>
      </c>
      <c r="D82" s="5" t="s">
        <v>903</v>
      </c>
      <c r="E82" s="5" t="s">
        <v>904</v>
      </c>
      <c r="F82" s="5" t="s">
        <v>905</v>
      </c>
      <c r="G82" s="6">
        <v>1.77897844468032e+18</v>
      </c>
      <c r="H82" s="5">
        <v>0.879557498401483</v>
      </c>
      <c r="I82" s="5">
        <v>0.875460391903621</v>
      </c>
      <c r="J82" s="5">
        <v>3.454191445</v>
      </c>
      <c r="K82" s="5">
        <v>0.879557498401483</v>
      </c>
      <c r="L82" s="6">
        <v>1.77897844468026e+18</v>
      </c>
      <c r="M82" s="5">
        <v>0.875</v>
      </c>
      <c r="N82" s="6">
        <v>1.77897844842873e+18</v>
      </c>
      <c r="O82" s="6">
        <v>1.77897814312123e+18</v>
      </c>
      <c r="P82" s="5">
        <v>299.666046087</v>
      </c>
      <c r="Q82" s="5">
        <v>0.25</v>
      </c>
      <c r="R82" s="5">
        <v>6</v>
      </c>
      <c r="S82" s="5" t="s">
        <v>145</v>
      </c>
      <c r="T82" s="5" t="s">
        <v>146</v>
      </c>
      <c r="U82" s="5" t="b">
        <v>0</v>
      </c>
      <c r="V82" s="5">
        <v>25</v>
      </c>
      <c r="W82" s="5">
        <v>0</v>
      </c>
      <c r="X82" s="5">
        <v>10</v>
      </c>
      <c r="Y82" s="5">
        <v>8</v>
      </c>
      <c r="Z82" s="5" t="b">
        <v>0</v>
      </c>
      <c r="AA82" s="5">
        <v>4</v>
      </c>
      <c r="AB82" s="5" t="b">
        <v>0</v>
      </c>
      <c r="AC82" s="5" t="b">
        <v>0</v>
      </c>
      <c r="AD82" s="5" t="s">
        <v>147</v>
      </c>
      <c r="AE82" s="5" t="s">
        <v>906</v>
      </c>
      <c r="AF82" s="5">
        <v>1</v>
      </c>
      <c r="AG82" s="5" t="b">
        <v>0</v>
      </c>
      <c r="AH82" s="5" t="b">
        <v>0</v>
      </c>
      <c r="AI82" s="5" t="s">
        <v>149</v>
      </c>
      <c r="AJ82" s="5">
        <v>3</v>
      </c>
      <c r="AK82" s="5" t="b">
        <v>0</v>
      </c>
      <c r="AL82" s="5">
        <v>8</v>
      </c>
      <c r="AM82" s="5">
        <v>0</v>
      </c>
      <c r="AN82" s="5">
        <v>0</v>
      </c>
      <c r="AO82" s="5" t="b">
        <v>0</v>
      </c>
      <c r="AP82" s="5">
        <v>0.001</v>
      </c>
      <c r="AQ82" s="5">
        <v>256</v>
      </c>
      <c r="AR82" s="5" t="b">
        <v>1</v>
      </c>
      <c r="AS82" s="5">
        <v>1</v>
      </c>
      <c r="AT82" s="5">
        <v>3</v>
      </c>
      <c r="AU82" s="5">
        <v>0.1</v>
      </c>
      <c r="AV82" s="5">
        <v>0.1</v>
      </c>
      <c r="AW82" s="5" t="b">
        <v>0</v>
      </c>
      <c r="AX82" s="5">
        <v>32</v>
      </c>
      <c r="AY82" s="5">
        <v>123</v>
      </c>
      <c r="AZ82" s="5">
        <v>1</v>
      </c>
      <c r="BA82" s="5">
        <v>16</v>
      </c>
      <c r="BB82" s="5" t="s">
        <v>275</v>
      </c>
      <c r="BC82" s="5" t="s">
        <v>151</v>
      </c>
      <c r="BD82" s="5">
        <v>10</v>
      </c>
      <c r="BE82" s="5" t="b">
        <v>0</v>
      </c>
      <c r="BF82" s="5" t="s">
        <v>152</v>
      </c>
      <c r="BG82" s="5" t="s">
        <v>907</v>
      </c>
      <c r="BH82" s="5">
        <v>0</v>
      </c>
      <c r="BI82" s="5" t="s">
        <v>154</v>
      </c>
      <c r="BJ82" s="5">
        <v>2</v>
      </c>
      <c r="BK82" s="5"/>
      <c r="BL82" s="5" t="b">
        <v>0</v>
      </c>
      <c r="BM82" s="5">
        <v>0</v>
      </c>
      <c r="BN82" s="5">
        <v>0</v>
      </c>
      <c r="BO82" s="5" t="s">
        <v>155</v>
      </c>
      <c r="BP82" s="5">
        <v>128</v>
      </c>
      <c r="BQ82" s="5" t="s">
        <v>156</v>
      </c>
      <c r="BR82" s="5">
        <v>2</v>
      </c>
      <c r="BS82" s="5" t="s">
        <v>157</v>
      </c>
      <c r="BT82" s="5">
        <v>0</v>
      </c>
      <c r="BU82" s="5">
        <v>96</v>
      </c>
      <c r="BV82" s="5" t="b">
        <v>0</v>
      </c>
      <c r="BW82" s="5">
        <v>1000</v>
      </c>
      <c r="BX82" s="5">
        <v>0.3</v>
      </c>
      <c r="BY82" s="5" t="b">
        <v>0</v>
      </c>
      <c r="BZ82" s="5" t="s">
        <v>908</v>
      </c>
      <c r="CA82" s="5" t="s">
        <v>15</v>
      </c>
      <c r="CB82" s="5" t="s">
        <v>909</v>
      </c>
      <c r="CC82" s="5" t="s">
        <v>160</v>
      </c>
      <c r="CD82" s="5">
        <v>315</v>
      </c>
      <c r="CE82" s="5">
        <v>32</v>
      </c>
      <c r="CF82" s="5" t="b">
        <v>0</v>
      </c>
      <c r="CG82" s="5" t="s">
        <v>161</v>
      </c>
      <c r="CH82" s="5">
        <v>48</v>
      </c>
      <c r="CI82" s="5">
        <v>1</v>
      </c>
      <c r="CJ82" s="5">
        <v>0.25</v>
      </c>
      <c r="CK82" s="5">
        <v>7</v>
      </c>
      <c r="CL82" s="5" t="s">
        <v>910</v>
      </c>
      <c r="CM82" s="5">
        <v>7</v>
      </c>
      <c r="CN82" s="5" t="s">
        <v>163</v>
      </c>
      <c r="CO82" s="5">
        <v>0</v>
      </c>
      <c r="CP82" s="5" t="s">
        <v>280</v>
      </c>
      <c r="CQ82" s="5" t="s">
        <v>164</v>
      </c>
      <c r="CR82" s="5" t="s">
        <v>907</v>
      </c>
      <c r="CS82" s="5">
        <v>3</v>
      </c>
      <c r="CT82" s="5" t="b">
        <v>0</v>
      </c>
      <c r="CU82" s="5" t="s">
        <v>165</v>
      </c>
      <c r="CV82" s="5" t="b">
        <v>1</v>
      </c>
      <c r="CW82" s="5" t="b">
        <v>0</v>
      </c>
      <c r="CX82" s="5">
        <v>1</v>
      </c>
      <c r="CY82" s="5">
        <v>2</v>
      </c>
      <c r="CZ82" s="5" t="b">
        <v>0</v>
      </c>
      <c r="DA82" s="5" t="b">
        <v>0</v>
      </c>
      <c r="DB82" s="5" t="b">
        <v>0</v>
      </c>
      <c r="DC82" s="5" t="s">
        <v>166</v>
      </c>
      <c r="DD82" s="5" t="s">
        <v>167</v>
      </c>
      <c r="DE82" s="5" t="s">
        <v>168</v>
      </c>
      <c r="DF82" s="5">
        <v>0.5</v>
      </c>
      <c r="DG82" s="5">
        <v>10</v>
      </c>
      <c r="DH82" s="5">
        <v>0.3</v>
      </c>
      <c r="DI82" s="5">
        <v>1</v>
      </c>
      <c r="DJ82" s="5">
        <v>1</v>
      </c>
      <c r="DK82" s="5" t="s">
        <v>169</v>
      </c>
      <c r="DL82" s="5" t="b">
        <v>0</v>
      </c>
      <c r="DM82" s="5">
        <v>32</v>
      </c>
      <c r="DN82" s="5">
        <v>1</v>
      </c>
      <c r="DO82" s="5" t="s">
        <v>170</v>
      </c>
      <c r="DP82" s="5" t="s">
        <v>909</v>
      </c>
      <c r="DQ82" s="5" t="s">
        <v>171</v>
      </c>
      <c r="DR82" s="5" t="s">
        <v>172</v>
      </c>
      <c r="DS82" s="7" t="str">
        <f>_xlfn.XLOOKUP(CP82,datasetmap!B:B,datasetmap!A:A)</f>
        <v>UWG</v>
      </c>
      <c r="DT82" s="8">
        <f t="shared" si="1"/>
        <v>3.748410112</v>
      </c>
    </row>
    <row r="83" ht="17.6" spans="1:124">
      <c r="A83" s="5" t="s">
        <v>911</v>
      </c>
      <c r="B83" s="5">
        <v>32</v>
      </c>
      <c r="C83" s="5" t="s">
        <v>141</v>
      </c>
      <c r="D83" s="5" t="s">
        <v>912</v>
      </c>
      <c r="E83" s="5" t="s">
        <v>913</v>
      </c>
      <c r="F83" s="5" t="s">
        <v>914</v>
      </c>
      <c r="G83" s="6">
        <v>1.77897811165061e+18</v>
      </c>
      <c r="H83" s="5">
        <v>0.987837890189028</v>
      </c>
      <c r="I83" s="5">
        <v>0.987724005862737</v>
      </c>
      <c r="J83" s="5">
        <v>12.294300732</v>
      </c>
      <c r="K83" s="5">
        <v>0.987837890189028</v>
      </c>
      <c r="L83" s="6">
        <v>1.77897811165054e+18</v>
      </c>
      <c r="M83" s="5">
        <v>0.987721691678035</v>
      </c>
      <c r="N83" s="6">
        <v>1.77897812873273e+18</v>
      </c>
      <c r="O83" s="6">
        <v>1.77897647819904e+18</v>
      </c>
      <c r="P83" s="5">
        <v>1611.541039203</v>
      </c>
      <c r="Q83" s="5">
        <v>0.25</v>
      </c>
      <c r="R83" s="5">
        <v>6</v>
      </c>
      <c r="S83" s="5" t="s">
        <v>145</v>
      </c>
      <c r="T83" s="5" t="s">
        <v>146</v>
      </c>
      <c r="U83" s="5" t="b">
        <v>0</v>
      </c>
      <c r="V83" s="5">
        <v>25</v>
      </c>
      <c r="W83" s="5">
        <v>0</v>
      </c>
      <c r="X83" s="5">
        <v>10</v>
      </c>
      <c r="Y83" s="5">
        <v>8</v>
      </c>
      <c r="Z83" s="5" t="b">
        <v>0</v>
      </c>
      <c r="AA83" s="5">
        <v>4</v>
      </c>
      <c r="AB83" s="5" t="b">
        <v>0</v>
      </c>
      <c r="AC83" s="5" t="b">
        <v>0</v>
      </c>
      <c r="AD83" s="5" t="s">
        <v>147</v>
      </c>
      <c r="AE83" s="5" t="s">
        <v>915</v>
      </c>
      <c r="AF83" s="5">
        <v>1</v>
      </c>
      <c r="AG83" s="5" t="b">
        <v>0</v>
      </c>
      <c r="AH83" s="5" t="b">
        <v>0</v>
      </c>
      <c r="AI83" s="5" t="s">
        <v>149</v>
      </c>
      <c r="AJ83" s="5">
        <v>3</v>
      </c>
      <c r="AK83" s="5" t="b">
        <v>0</v>
      </c>
      <c r="AL83" s="5">
        <v>10</v>
      </c>
      <c r="AM83" s="5">
        <v>0</v>
      </c>
      <c r="AN83" s="5">
        <v>0</v>
      </c>
      <c r="AO83" s="5" t="b">
        <v>0</v>
      </c>
      <c r="AP83" s="5">
        <v>0.001</v>
      </c>
      <c r="AQ83" s="5">
        <v>256</v>
      </c>
      <c r="AR83" s="5" t="b">
        <v>1</v>
      </c>
      <c r="AS83" s="5">
        <v>1</v>
      </c>
      <c r="AT83" s="5">
        <v>3</v>
      </c>
      <c r="AU83" s="5">
        <v>0.1</v>
      </c>
      <c r="AV83" s="5">
        <v>0.1</v>
      </c>
      <c r="AW83" s="5" t="b">
        <v>0</v>
      </c>
      <c r="AX83" s="5">
        <v>32</v>
      </c>
      <c r="AY83" s="5">
        <v>42</v>
      </c>
      <c r="AZ83" s="5">
        <v>1</v>
      </c>
      <c r="BA83" s="5">
        <v>16</v>
      </c>
      <c r="BB83" s="5" t="s">
        <v>178</v>
      </c>
      <c r="BC83" s="5" t="s">
        <v>151</v>
      </c>
      <c r="BD83" s="5">
        <v>10</v>
      </c>
      <c r="BE83" s="5" t="b">
        <v>0</v>
      </c>
      <c r="BF83" s="5" t="s">
        <v>152</v>
      </c>
      <c r="BG83" s="5" t="s">
        <v>916</v>
      </c>
      <c r="BH83" s="5">
        <v>0</v>
      </c>
      <c r="BI83" s="5" t="s">
        <v>154</v>
      </c>
      <c r="BJ83" s="5">
        <v>2</v>
      </c>
      <c r="BK83" s="5"/>
      <c r="BL83" s="5" t="b">
        <v>0</v>
      </c>
      <c r="BM83" s="5">
        <v>0</v>
      </c>
      <c r="BN83" s="5">
        <v>0</v>
      </c>
      <c r="BO83" s="5" t="s">
        <v>155</v>
      </c>
      <c r="BP83" s="5">
        <v>128</v>
      </c>
      <c r="BQ83" s="5" t="s">
        <v>156</v>
      </c>
      <c r="BR83" s="5">
        <v>2</v>
      </c>
      <c r="BS83" s="5" t="s">
        <v>157</v>
      </c>
      <c r="BT83" s="5">
        <v>0</v>
      </c>
      <c r="BU83" s="5">
        <v>96</v>
      </c>
      <c r="BV83" s="5" t="b">
        <v>0</v>
      </c>
      <c r="BW83" s="5">
        <v>1000</v>
      </c>
      <c r="BX83" s="5">
        <v>0.3</v>
      </c>
      <c r="BY83" s="5" t="b">
        <v>0</v>
      </c>
      <c r="BZ83" s="5" t="s">
        <v>917</v>
      </c>
      <c r="CA83" s="5" t="s">
        <v>15</v>
      </c>
      <c r="CB83" s="5" t="s">
        <v>918</v>
      </c>
      <c r="CC83" s="5" t="s">
        <v>160</v>
      </c>
      <c r="CD83" s="5">
        <v>93</v>
      </c>
      <c r="CE83" s="5">
        <v>32</v>
      </c>
      <c r="CF83" s="5" t="b">
        <v>0</v>
      </c>
      <c r="CG83" s="5" t="s">
        <v>161</v>
      </c>
      <c r="CH83" s="5">
        <v>48</v>
      </c>
      <c r="CI83" s="5">
        <v>1</v>
      </c>
      <c r="CJ83" s="5">
        <v>0.25</v>
      </c>
      <c r="CK83" s="5">
        <v>7</v>
      </c>
      <c r="CL83" s="5" t="s">
        <v>919</v>
      </c>
      <c r="CM83" s="5">
        <v>7</v>
      </c>
      <c r="CN83" s="5" t="s">
        <v>163</v>
      </c>
      <c r="CO83" s="5">
        <v>0</v>
      </c>
      <c r="CP83" s="5" t="s">
        <v>183</v>
      </c>
      <c r="CQ83" s="5" t="s">
        <v>164</v>
      </c>
      <c r="CR83" s="5" t="s">
        <v>916</v>
      </c>
      <c r="CS83" s="5">
        <v>13</v>
      </c>
      <c r="CT83" s="5" t="b">
        <v>0</v>
      </c>
      <c r="CU83" s="5" t="s">
        <v>165</v>
      </c>
      <c r="CV83" s="5" t="b">
        <v>1</v>
      </c>
      <c r="CW83" s="5" t="b">
        <v>0</v>
      </c>
      <c r="CX83" s="5">
        <v>1</v>
      </c>
      <c r="CY83" s="5">
        <v>2</v>
      </c>
      <c r="CZ83" s="5" t="b">
        <v>0</v>
      </c>
      <c r="DA83" s="5" t="b">
        <v>0</v>
      </c>
      <c r="DB83" s="5" t="b">
        <v>0</v>
      </c>
      <c r="DC83" s="5" t="s">
        <v>166</v>
      </c>
      <c r="DD83" s="5" t="s">
        <v>167</v>
      </c>
      <c r="DE83" s="5" t="s">
        <v>168</v>
      </c>
      <c r="DF83" s="5">
        <v>0.5</v>
      </c>
      <c r="DG83" s="5">
        <v>10</v>
      </c>
      <c r="DH83" s="5">
        <v>0.3</v>
      </c>
      <c r="DI83" s="5">
        <v>1</v>
      </c>
      <c r="DJ83" s="5">
        <v>1</v>
      </c>
      <c r="DK83" s="5" t="s">
        <v>169</v>
      </c>
      <c r="DL83" s="5" t="b">
        <v>0</v>
      </c>
      <c r="DM83" s="5">
        <v>32</v>
      </c>
      <c r="DN83" s="5">
        <v>1</v>
      </c>
      <c r="DO83" s="5" t="s">
        <v>170</v>
      </c>
      <c r="DP83" s="5" t="s">
        <v>918</v>
      </c>
      <c r="DQ83" s="5" t="s">
        <v>171</v>
      </c>
      <c r="DR83" s="5" t="s">
        <v>172</v>
      </c>
      <c r="DS83" s="7" t="str">
        <f>_xlfn.XLOOKUP(CP83,datasetmap!B:B,datasetmap!A:A)</f>
        <v>SAD</v>
      </c>
      <c r="DT83" s="8">
        <f t="shared" si="1"/>
        <v>17.082120192</v>
      </c>
    </row>
    <row r="84" ht="17.6" spans="1:124">
      <c r="A84" s="5" t="s">
        <v>920</v>
      </c>
      <c r="B84" s="5">
        <v>32</v>
      </c>
      <c r="C84" s="5" t="s">
        <v>141</v>
      </c>
      <c r="D84" s="5" t="s">
        <v>921</v>
      </c>
      <c r="E84" s="5" t="s">
        <v>922</v>
      </c>
      <c r="F84" s="5" t="s">
        <v>923</v>
      </c>
      <c r="G84" s="6">
        <v>1.77897645307517e+18</v>
      </c>
      <c r="H84" s="5">
        <v>0.590725806451612</v>
      </c>
      <c r="I84" s="5">
        <v>0.562155933939316</v>
      </c>
      <c r="J84" s="5">
        <v>2.24830053</v>
      </c>
      <c r="K84" s="5">
        <v>0.590725806451612</v>
      </c>
      <c r="L84" s="6">
        <v>1.77897645307513e+18</v>
      </c>
      <c r="M84" s="5">
        <v>0.577777777777777</v>
      </c>
      <c r="N84" s="6">
        <v>1.77897645587521e+18</v>
      </c>
      <c r="O84" s="6">
        <v>1.77897629437896e+18</v>
      </c>
      <c r="P84" s="5">
        <v>139.240786529</v>
      </c>
      <c r="Q84" s="5">
        <v>0.25</v>
      </c>
      <c r="R84" s="5">
        <v>6</v>
      </c>
      <c r="S84" s="5" t="s">
        <v>145</v>
      </c>
      <c r="T84" s="5" t="s">
        <v>146</v>
      </c>
      <c r="U84" s="5" t="b">
        <v>0</v>
      </c>
      <c r="V84" s="5">
        <v>25</v>
      </c>
      <c r="W84" s="5">
        <v>0</v>
      </c>
      <c r="X84" s="5">
        <v>10</v>
      </c>
      <c r="Y84" s="5">
        <v>8</v>
      </c>
      <c r="Z84" s="5" t="b">
        <v>0</v>
      </c>
      <c r="AA84" s="5">
        <v>4</v>
      </c>
      <c r="AB84" s="5" t="b">
        <v>0</v>
      </c>
      <c r="AC84" s="5" t="b">
        <v>0</v>
      </c>
      <c r="AD84" s="5" t="s">
        <v>147</v>
      </c>
      <c r="AE84" s="5" t="s">
        <v>924</v>
      </c>
      <c r="AF84" s="5">
        <v>1</v>
      </c>
      <c r="AG84" s="5" t="b">
        <v>0</v>
      </c>
      <c r="AH84" s="5" t="b">
        <v>0</v>
      </c>
      <c r="AI84" s="5" t="s">
        <v>149</v>
      </c>
      <c r="AJ84" s="5">
        <v>3</v>
      </c>
      <c r="AK84" s="5" t="b">
        <v>0</v>
      </c>
      <c r="AL84" s="5">
        <v>2</v>
      </c>
      <c r="AM84" s="5">
        <v>0</v>
      </c>
      <c r="AN84" s="5">
        <v>0</v>
      </c>
      <c r="AO84" s="5" t="b">
        <v>0</v>
      </c>
      <c r="AP84" s="5">
        <v>0.001</v>
      </c>
      <c r="AQ84" s="5">
        <v>256</v>
      </c>
      <c r="AR84" s="5" t="b">
        <v>1</v>
      </c>
      <c r="AS84" s="5">
        <v>1</v>
      </c>
      <c r="AT84" s="5">
        <v>3</v>
      </c>
      <c r="AU84" s="5">
        <v>0.1</v>
      </c>
      <c r="AV84" s="5">
        <v>0.1</v>
      </c>
      <c r="AW84" s="5" t="b">
        <v>0</v>
      </c>
      <c r="AX84" s="5">
        <v>32</v>
      </c>
      <c r="AY84" s="5">
        <v>42</v>
      </c>
      <c r="AZ84" s="5">
        <v>1</v>
      </c>
      <c r="BA84" s="5">
        <v>16</v>
      </c>
      <c r="BB84" s="5" t="s">
        <v>200</v>
      </c>
      <c r="BC84" s="5" t="s">
        <v>151</v>
      </c>
      <c r="BD84" s="5">
        <v>10</v>
      </c>
      <c r="BE84" s="5" t="b">
        <v>0</v>
      </c>
      <c r="BF84" s="5" t="s">
        <v>152</v>
      </c>
      <c r="BG84" s="5" t="s">
        <v>925</v>
      </c>
      <c r="BH84" s="5">
        <v>0</v>
      </c>
      <c r="BI84" s="5" t="s">
        <v>154</v>
      </c>
      <c r="BJ84" s="5">
        <v>2</v>
      </c>
      <c r="BK84" s="5"/>
      <c r="BL84" s="5" t="b">
        <v>0</v>
      </c>
      <c r="BM84" s="5">
        <v>0</v>
      </c>
      <c r="BN84" s="5">
        <v>0</v>
      </c>
      <c r="BO84" s="5" t="s">
        <v>155</v>
      </c>
      <c r="BP84" s="5">
        <v>128</v>
      </c>
      <c r="BQ84" s="5" t="s">
        <v>156</v>
      </c>
      <c r="BR84" s="5">
        <v>2</v>
      </c>
      <c r="BS84" s="5" t="s">
        <v>157</v>
      </c>
      <c r="BT84" s="5">
        <v>0</v>
      </c>
      <c r="BU84" s="5">
        <v>96</v>
      </c>
      <c r="BV84" s="5" t="b">
        <v>0</v>
      </c>
      <c r="BW84" s="5">
        <v>1000</v>
      </c>
      <c r="BX84" s="5">
        <v>0.3</v>
      </c>
      <c r="BY84" s="5" t="b">
        <v>0</v>
      </c>
      <c r="BZ84" s="5" t="s">
        <v>926</v>
      </c>
      <c r="CA84" s="5" t="s">
        <v>15</v>
      </c>
      <c r="CB84" s="5" t="s">
        <v>927</v>
      </c>
      <c r="CC84" s="5" t="s">
        <v>160</v>
      </c>
      <c r="CD84" s="5">
        <v>1152</v>
      </c>
      <c r="CE84" s="5">
        <v>32</v>
      </c>
      <c r="CF84" s="5" t="b">
        <v>0</v>
      </c>
      <c r="CG84" s="5" t="s">
        <v>161</v>
      </c>
      <c r="CH84" s="5">
        <v>48</v>
      </c>
      <c r="CI84" s="5">
        <v>1</v>
      </c>
      <c r="CJ84" s="5">
        <v>0.25</v>
      </c>
      <c r="CK84" s="5">
        <v>7</v>
      </c>
      <c r="CL84" s="5" t="s">
        <v>928</v>
      </c>
      <c r="CM84" s="5">
        <v>7</v>
      </c>
      <c r="CN84" s="5" t="s">
        <v>163</v>
      </c>
      <c r="CO84" s="5">
        <v>0</v>
      </c>
      <c r="CP84" s="5" t="s">
        <v>205</v>
      </c>
      <c r="CQ84" s="5" t="s">
        <v>164</v>
      </c>
      <c r="CR84" s="5" t="s">
        <v>925</v>
      </c>
      <c r="CS84" s="5">
        <v>7</v>
      </c>
      <c r="CT84" s="5" t="b">
        <v>0</v>
      </c>
      <c r="CU84" s="5" t="s">
        <v>165</v>
      </c>
      <c r="CV84" s="5" t="b">
        <v>1</v>
      </c>
      <c r="CW84" s="5" t="b">
        <v>0</v>
      </c>
      <c r="CX84" s="5">
        <v>1</v>
      </c>
      <c r="CY84" s="5">
        <v>2</v>
      </c>
      <c r="CZ84" s="5" t="b">
        <v>0</v>
      </c>
      <c r="DA84" s="5" t="b">
        <v>0</v>
      </c>
      <c r="DB84" s="5" t="b">
        <v>0</v>
      </c>
      <c r="DC84" s="5" t="s">
        <v>166</v>
      </c>
      <c r="DD84" s="5" t="s">
        <v>167</v>
      </c>
      <c r="DE84" s="5" t="s">
        <v>168</v>
      </c>
      <c r="DF84" s="5">
        <v>0.5</v>
      </c>
      <c r="DG84" s="5">
        <v>10</v>
      </c>
      <c r="DH84" s="5">
        <v>0.3</v>
      </c>
      <c r="DI84" s="5">
        <v>1</v>
      </c>
      <c r="DJ84" s="5">
        <v>1</v>
      </c>
      <c r="DK84" s="5" t="s">
        <v>169</v>
      </c>
      <c r="DL84" s="5" t="b">
        <v>0</v>
      </c>
      <c r="DM84" s="5">
        <v>32</v>
      </c>
      <c r="DN84" s="5">
        <v>1</v>
      </c>
      <c r="DO84" s="5" t="s">
        <v>170</v>
      </c>
      <c r="DP84" s="5" t="s">
        <v>927</v>
      </c>
      <c r="DQ84" s="5" t="s">
        <v>171</v>
      </c>
      <c r="DR84" s="5" t="s">
        <v>172</v>
      </c>
      <c r="DS84" s="7" t="str">
        <f>_xlfn.XLOOKUP(CP84,datasetmap!B:B,datasetmap!A:A)</f>
        <v>SRS2</v>
      </c>
      <c r="DT84" s="8">
        <f t="shared" si="1"/>
        <v>2.800039936</v>
      </c>
    </row>
    <row r="85" ht="17.6" spans="1:124">
      <c r="A85" s="5" t="s">
        <v>929</v>
      </c>
      <c r="B85" s="5">
        <v>32</v>
      </c>
      <c r="C85" s="5" t="s">
        <v>141</v>
      </c>
      <c r="D85" s="5" t="s">
        <v>930</v>
      </c>
      <c r="E85" s="5" t="s">
        <v>931</v>
      </c>
      <c r="F85" s="5" t="s">
        <v>932</v>
      </c>
      <c r="G85" s="6">
        <v>1.77897631262804e+18</v>
      </c>
      <c r="H85" s="5">
        <v>0.671130167940489</v>
      </c>
      <c r="I85" s="5">
        <v>0.667308550330102</v>
      </c>
      <c r="J85" s="5">
        <v>29.626630206</v>
      </c>
      <c r="K85" s="5">
        <v>0.671130167940489</v>
      </c>
      <c r="L85" s="6">
        <v>1.77897631262799e+18</v>
      </c>
      <c r="M85" s="5">
        <v>0.668558456299659</v>
      </c>
      <c r="N85" s="6">
        <v>1.77897643640993e+18</v>
      </c>
      <c r="O85" s="6">
        <v>1.77897434258146e+18</v>
      </c>
      <c r="P85" s="5">
        <v>1355.343412928</v>
      </c>
      <c r="Q85" s="5">
        <v>0.25</v>
      </c>
      <c r="R85" s="5">
        <v>6</v>
      </c>
      <c r="S85" s="5" t="s">
        <v>145</v>
      </c>
      <c r="T85" s="5" t="s">
        <v>146</v>
      </c>
      <c r="U85" s="5" t="b">
        <v>0</v>
      </c>
      <c r="V85" s="5">
        <v>25</v>
      </c>
      <c r="W85" s="5">
        <v>0</v>
      </c>
      <c r="X85" s="5">
        <v>10</v>
      </c>
      <c r="Y85" s="5">
        <v>8</v>
      </c>
      <c r="Z85" s="5" t="b">
        <v>0</v>
      </c>
      <c r="AA85" s="5">
        <v>4</v>
      </c>
      <c r="AB85" s="5" t="b">
        <v>0</v>
      </c>
      <c r="AC85" s="5" t="b">
        <v>0</v>
      </c>
      <c r="AD85" s="5" t="s">
        <v>147</v>
      </c>
      <c r="AE85" s="5" t="s">
        <v>933</v>
      </c>
      <c r="AF85" s="5">
        <v>1</v>
      </c>
      <c r="AG85" s="5" t="b">
        <v>0</v>
      </c>
      <c r="AH85" s="5" t="b">
        <v>0</v>
      </c>
      <c r="AI85" s="5" t="s">
        <v>149</v>
      </c>
      <c r="AJ85" s="5">
        <v>3</v>
      </c>
      <c r="AK85" s="5" t="b">
        <v>0</v>
      </c>
      <c r="AL85" s="5">
        <v>2</v>
      </c>
      <c r="AM85" s="5">
        <v>0</v>
      </c>
      <c r="AN85" s="5">
        <v>0</v>
      </c>
      <c r="AO85" s="5" t="b">
        <v>0</v>
      </c>
      <c r="AP85" s="5">
        <v>0.001</v>
      </c>
      <c r="AQ85" s="5">
        <v>256</v>
      </c>
      <c r="AR85" s="5" t="b">
        <v>1</v>
      </c>
      <c r="AS85" s="5">
        <v>1</v>
      </c>
      <c r="AT85" s="5">
        <v>3</v>
      </c>
      <c r="AU85" s="5">
        <v>0.1</v>
      </c>
      <c r="AV85" s="5">
        <v>0.1</v>
      </c>
      <c r="AW85" s="5" t="b">
        <v>0</v>
      </c>
      <c r="AX85" s="5">
        <v>32</v>
      </c>
      <c r="AY85" s="5">
        <v>42</v>
      </c>
      <c r="AZ85" s="5">
        <v>1</v>
      </c>
      <c r="BA85" s="5">
        <v>16</v>
      </c>
      <c r="BB85" s="5" t="s">
        <v>189</v>
      </c>
      <c r="BC85" s="5" t="s">
        <v>151</v>
      </c>
      <c r="BD85" s="5">
        <v>10</v>
      </c>
      <c r="BE85" s="5" t="b">
        <v>0</v>
      </c>
      <c r="BF85" s="5" t="s">
        <v>152</v>
      </c>
      <c r="BG85" s="5" t="s">
        <v>934</v>
      </c>
      <c r="BH85" s="5">
        <v>0</v>
      </c>
      <c r="BI85" s="5" t="s">
        <v>154</v>
      </c>
      <c r="BJ85" s="5">
        <v>2</v>
      </c>
      <c r="BK85" s="5"/>
      <c r="BL85" s="5" t="b">
        <v>0</v>
      </c>
      <c r="BM85" s="5">
        <v>0</v>
      </c>
      <c r="BN85" s="5">
        <v>0</v>
      </c>
      <c r="BO85" s="5" t="s">
        <v>155</v>
      </c>
      <c r="BP85" s="5">
        <v>128</v>
      </c>
      <c r="BQ85" s="5" t="s">
        <v>156</v>
      </c>
      <c r="BR85" s="5">
        <v>2</v>
      </c>
      <c r="BS85" s="5" t="s">
        <v>157</v>
      </c>
      <c r="BT85" s="5">
        <v>0</v>
      </c>
      <c r="BU85" s="5">
        <v>96</v>
      </c>
      <c r="BV85" s="5" t="b">
        <v>0</v>
      </c>
      <c r="BW85" s="5">
        <v>1000</v>
      </c>
      <c r="BX85" s="5">
        <v>0.3</v>
      </c>
      <c r="BY85" s="5" t="b">
        <v>0</v>
      </c>
      <c r="BZ85" s="5" t="s">
        <v>935</v>
      </c>
      <c r="CA85" s="5" t="s">
        <v>15</v>
      </c>
      <c r="CB85" s="5" t="s">
        <v>936</v>
      </c>
      <c r="CC85" s="5" t="s">
        <v>160</v>
      </c>
      <c r="CD85" s="5">
        <v>62</v>
      </c>
      <c r="CE85" s="5">
        <v>32</v>
      </c>
      <c r="CF85" s="5" t="b">
        <v>0</v>
      </c>
      <c r="CG85" s="5" t="s">
        <v>161</v>
      </c>
      <c r="CH85" s="5">
        <v>48</v>
      </c>
      <c r="CI85" s="5">
        <v>1</v>
      </c>
      <c r="CJ85" s="5">
        <v>0.25</v>
      </c>
      <c r="CK85" s="5">
        <v>7</v>
      </c>
      <c r="CL85" s="5" t="s">
        <v>937</v>
      </c>
      <c r="CM85" s="5">
        <v>7</v>
      </c>
      <c r="CN85" s="5" t="s">
        <v>163</v>
      </c>
      <c r="CO85" s="5">
        <v>0</v>
      </c>
      <c r="CP85" s="5" t="s">
        <v>194</v>
      </c>
      <c r="CQ85" s="5" t="s">
        <v>164</v>
      </c>
      <c r="CR85" s="5" t="s">
        <v>934</v>
      </c>
      <c r="CS85" s="5">
        <v>144</v>
      </c>
      <c r="CT85" s="5" t="b">
        <v>0</v>
      </c>
      <c r="CU85" s="5" t="s">
        <v>165</v>
      </c>
      <c r="CV85" s="5" t="b">
        <v>1</v>
      </c>
      <c r="CW85" s="5" t="b">
        <v>0</v>
      </c>
      <c r="CX85" s="5">
        <v>1</v>
      </c>
      <c r="CY85" s="5">
        <v>2</v>
      </c>
      <c r="CZ85" s="5" t="b">
        <v>0</v>
      </c>
      <c r="DA85" s="5" t="b">
        <v>0</v>
      </c>
      <c r="DB85" s="5" t="b">
        <v>0</v>
      </c>
      <c r="DC85" s="5" t="s">
        <v>166</v>
      </c>
      <c r="DD85" s="5" t="s">
        <v>167</v>
      </c>
      <c r="DE85" s="5" t="s">
        <v>168</v>
      </c>
      <c r="DF85" s="5">
        <v>0.5</v>
      </c>
      <c r="DG85" s="5">
        <v>10</v>
      </c>
      <c r="DH85" s="5">
        <v>0.3</v>
      </c>
      <c r="DI85" s="5">
        <v>1</v>
      </c>
      <c r="DJ85" s="5">
        <v>1</v>
      </c>
      <c r="DK85" s="5" t="s">
        <v>169</v>
      </c>
      <c r="DL85" s="5" t="b">
        <v>0</v>
      </c>
      <c r="DM85" s="5">
        <v>32</v>
      </c>
      <c r="DN85" s="5">
        <v>1</v>
      </c>
      <c r="DO85" s="5" t="s">
        <v>170</v>
      </c>
      <c r="DP85" s="5" t="s">
        <v>936</v>
      </c>
      <c r="DQ85" s="5" t="s">
        <v>171</v>
      </c>
      <c r="DR85" s="5" t="s">
        <v>172</v>
      </c>
      <c r="DS85" s="7" t="str">
        <f>_xlfn.XLOOKUP(CP85,datasetmap!B:B,datasetmap!A:A)</f>
        <v>FD</v>
      </c>
      <c r="DT85" s="8">
        <f t="shared" si="1"/>
        <v>123.781890048</v>
      </c>
    </row>
    <row r="86" ht="17.6" spans="1:124">
      <c r="A86" s="5" t="s">
        <v>938</v>
      </c>
      <c r="B86" s="5">
        <v>32</v>
      </c>
      <c r="C86" s="5" t="s">
        <v>141</v>
      </c>
      <c r="D86" s="5" t="s">
        <v>939</v>
      </c>
      <c r="E86" s="5" t="s">
        <v>940</v>
      </c>
      <c r="F86" s="5" t="s">
        <v>941</v>
      </c>
      <c r="G86" s="6">
        <v>1.77897617704593e+18</v>
      </c>
      <c r="H86" s="5">
        <v>0.915026507844433</v>
      </c>
      <c r="I86" s="5">
        <v>0.911045163248861</v>
      </c>
      <c r="J86" s="5">
        <v>8.696447946</v>
      </c>
      <c r="K86" s="5">
        <v>0.915026507844433</v>
      </c>
      <c r="L86" s="6">
        <v>1.77897617704588e+18</v>
      </c>
      <c r="M86" s="5">
        <v>0.911262798634812</v>
      </c>
      <c r="N86" s="6">
        <v>1.77897619239965e+18</v>
      </c>
      <c r="O86" s="6">
        <v>1.77897580698734e+18</v>
      </c>
      <c r="P86" s="5">
        <v>342.40648355</v>
      </c>
      <c r="Q86" s="5">
        <v>0.25</v>
      </c>
      <c r="R86" s="5">
        <v>6</v>
      </c>
      <c r="S86" s="5" t="s">
        <v>145</v>
      </c>
      <c r="T86" s="5" t="s">
        <v>146</v>
      </c>
      <c r="U86" s="5" t="b">
        <v>0</v>
      </c>
      <c r="V86" s="5">
        <v>25</v>
      </c>
      <c r="W86" s="5">
        <v>0</v>
      </c>
      <c r="X86" s="5">
        <v>10</v>
      </c>
      <c r="Y86" s="5">
        <v>8</v>
      </c>
      <c r="Z86" s="5" t="b">
        <v>0</v>
      </c>
      <c r="AA86" s="5">
        <v>4</v>
      </c>
      <c r="AB86" s="5" t="b">
        <v>0</v>
      </c>
      <c r="AC86" s="5" t="b">
        <v>0</v>
      </c>
      <c r="AD86" s="5" t="s">
        <v>147</v>
      </c>
      <c r="AE86" s="5" t="s">
        <v>942</v>
      </c>
      <c r="AF86" s="5">
        <v>1</v>
      </c>
      <c r="AG86" s="5" t="b">
        <v>0</v>
      </c>
      <c r="AH86" s="5" t="b">
        <v>0</v>
      </c>
      <c r="AI86" s="5" t="s">
        <v>149</v>
      </c>
      <c r="AJ86" s="5">
        <v>3</v>
      </c>
      <c r="AK86" s="5" t="b">
        <v>0</v>
      </c>
      <c r="AL86" s="5">
        <v>2</v>
      </c>
      <c r="AM86" s="5">
        <v>0</v>
      </c>
      <c r="AN86" s="5">
        <v>0</v>
      </c>
      <c r="AO86" s="5" t="b">
        <v>0</v>
      </c>
      <c r="AP86" s="5">
        <v>0.001</v>
      </c>
      <c r="AQ86" s="5">
        <v>256</v>
      </c>
      <c r="AR86" s="5" t="b">
        <v>1</v>
      </c>
      <c r="AS86" s="5">
        <v>1</v>
      </c>
      <c r="AT86" s="5">
        <v>3</v>
      </c>
      <c r="AU86" s="5">
        <v>0.1</v>
      </c>
      <c r="AV86" s="5">
        <v>0.1</v>
      </c>
      <c r="AW86" s="5" t="b">
        <v>0</v>
      </c>
      <c r="AX86" s="5">
        <v>32</v>
      </c>
      <c r="AY86" s="5">
        <v>42</v>
      </c>
      <c r="AZ86" s="5">
        <v>1</v>
      </c>
      <c r="BA86" s="5">
        <v>16</v>
      </c>
      <c r="BB86" s="5" t="s">
        <v>211</v>
      </c>
      <c r="BC86" s="5" t="s">
        <v>151</v>
      </c>
      <c r="BD86" s="5">
        <v>10</v>
      </c>
      <c r="BE86" s="5" t="b">
        <v>0</v>
      </c>
      <c r="BF86" s="5" t="s">
        <v>152</v>
      </c>
      <c r="BG86" s="5" t="s">
        <v>943</v>
      </c>
      <c r="BH86" s="5">
        <v>0</v>
      </c>
      <c r="BI86" s="5" t="s">
        <v>154</v>
      </c>
      <c r="BJ86" s="5">
        <v>2</v>
      </c>
      <c r="BK86" s="5"/>
      <c r="BL86" s="5" t="b">
        <v>0</v>
      </c>
      <c r="BM86" s="5">
        <v>0</v>
      </c>
      <c r="BN86" s="5">
        <v>0</v>
      </c>
      <c r="BO86" s="5" t="s">
        <v>155</v>
      </c>
      <c r="BP86" s="5">
        <v>128</v>
      </c>
      <c r="BQ86" s="5" t="s">
        <v>156</v>
      </c>
      <c r="BR86" s="5">
        <v>2</v>
      </c>
      <c r="BS86" s="5" t="s">
        <v>157</v>
      </c>
      <c r="BT86" s="5">
        <v>0</v>
      </c>
      <c r="BU86" s="5">
        <v>96</v>
      </c>
      <c r="BV86" s="5" t="b">
        <v>0</v>
      </c>
      <c r="BW86" s="5">
        <v>1000</v>
      </c>
      <c r="BX86" s="5">
        <v>0.3</v>
      </c>
      <c r="BY86" s="5" t="b">
        <v>0</v>
      </c>
      <c r="BZ86" s="5" t="s">
        <v>944</v>
      </c>
      <c r="CA86" s="5" t="s">
        <v>15</v>
      </c>
      <c r="CB86" s="5" t="s">
        <v>945</v>
      </c>
      <c r="CC86" s="5" t="s">
        <v>160</v>
      </c>
      <c r="CD86" s="5">
        <v>896</v>
      </c>
      <c r="CE86" s="5">
        <v>32</v>
      </c>
      <c r="CF86" s="5" t="b">
        <v>0</v>
      </c>
      <c r="CG86" s="5" t="s">
        <v>161</v>
      </c>
      <c r="CH86" s="5">
        <v>48</v>
      </c>
      <c r="CI86" s="5">
        <v>1</v>
      </c>
      <c r="CJ86" s="5">
        <v>0.25</v>
      </c>
      <c r="CK86" s="5">
        <v>7</v>
      </c>
      <c r="CL86" s="5" t="s">
        <v>946</v>
      </c>
      <c r="CM86" s="5">
        <v>7</v>
      </c>
      <c r="CN86" s="5" t="s">
        <v>163</v>
      </c>
      <c r="CO86" s="5">
        <v>0</v>
      </c>
      <c r="CP86" s="5" t="s">
        <v>216</v>
      </c>
      <c r="CQ86" s="5" t="s">
        <v>164</v>
      </c>
      <c r="CR86" s="5" t="s">
        <v>943</v>
      </c>
      <c r="CS86" s="5">
        <v>6</v>
      </c>
      <c r="CT86" s="5" t="b">
        <v>0</v>
      </c>
      <c r="CU86" s="5" t="s">
        <v>165</v>
      </c>
      <c r="CV86" s="5" t="b">
        <v>1</v>
      </c>
      <c r="CW86" s="5" t="b">
        <v>0</v>
      </c>
      <c r="CX86" s="5">
        <v>1</v>
      </c>
      <c r="CY86" s="5">
        <v>2</v>
      </c>
      <c r="CZ86" s="5" t="b">
        <v>0</v>
      </c>
      <c r="DA86" s="5" t="b">
        <v>0</v>
      </c>
      <c r="DB86" s="5" t="b">
        <v>0</v>
      </c>
      <c r="DC86" s="5" t="s">
        <v>166</v>
      </c>
      <c r="DD86" s="5" t="s">
        <v>167</v>
      </c>
      <c r="DE86" s="5" t="s">
        <v>168</v>
      </c>
      <c r="DF86" s="5">
        <v>0.5</v>
      </c>
      <c r="DG86" s="5">
        <v>10</v>
      </c>
      <c r="DH86" s="5">
        <v>0.3</v>
      </c>
      <c r="DI86" s="5">
        <v>1</v>
      </c>
      <c r="DJ86" s="5">
        <v>1</v>
      </c>
      <c r="DK86" s="5" t="s">
        <v>169</v>
      </c>
      <c r="DL86" s="5" t="b">
        <v>0</v>
      </c>
      <c r="DM86" s="5">
        <v>32</v>
      </c>
      <c r="DN86" s="5">
        <v>1</v>
      </c>
      <c r="DO86" s="5" t="s">
        <v>170</v>
      </c>
      <c r="DP86" s="5" t="s">
        <v>945</v>
      </c>
      <c r="DQ86" s="5" t="s">
        <v>171</v>
      </c>
      <c r="DR86" s="5" t="s">
        <v>172</v>
      </c>
      <c r="DS86" s="7" t="str">
        <f>_xlfn.XLOOKUP(CP86,datasetmap!B:B,datasetmap!A:A)</f>
        <v>SRS1</v>
      </c>
      <c r="DT86" s="8">
        <f t="shared" si="1"/>
        <v>15.353720064</v>
      </c>
    </row>
    <row r="87" ht="17.6" spans="1:124">
      <c r="A87" s="5" t="s">
        <v>947</v>
      </c>
      <c r="B87" s="5">
        <v>32</v>
      </c>
      <c r="C87" s="5" t="s">
        <v>141</v>
      </c>
      <c r="D87" s="5" t="s">
        <v>948</v>
      </c>
      <c r="E87" s="5" t="s">
        <v>949</v>
      </c>
      <c r="F87" s="5" t="s">
        <v>950</v>
      </c>
      <c r="G87" s="6">
        <v>1.77897569558553e+18</v>
      </c>
      <c r="H87" s="5">
        <v>0.976510229454028</v>
      </c>
      <c r="I87" s="5">
        <v>0.97567972251458</v>
      </c>
      <c r="J87" s="5">
        <v>6.70441903</v>
      </c>
      <c r="K87" s="5">
        <v>0.976510229454028</v>
      </c>
      <c r="L87" s="6">
        <v>1.7789756955854e+18</v>
      </c>
      <c r="M87" s="5">
        <v>0.975675675675675</v>
      </c>
      <c r="N87" s="6">
        <v>1.77897571070232e+18</v>
      </c>
      <c r="O87" s="6">
        <v>1.77897496808579e+18</v>
      </c>
      <c r="P87" s="5">
        <v>697.976435774</v>
      </c>
      <c r="Q87" s="5">
        <v>0.25</v>
      </c>
      <c r="R87" s="5">
        <v>6</v>
      </c>
      <c r="S87" s="5" t="s">
        <v>145</v>
      </c>
      <c r="T87" s="5" t="s">
        <v>146</v>
      </c>
      <c r="U87" s="5" t="b">
        <v>0</v>
      </c>
      <c r="V87" s="5">
        <v>25</v>
      </c>
      <c r="W87" s="5">
        <v>0</v>
      </c>
      <c r="X87" s="5">
        <v>10</v>
      </c>
      <c r="Y87" s="5">
        <v>8</v>
      </c>
      <c r="Z87" s="5" t="b">
        <v>0</v>
      </c>
      <c r="AA87" s="5">
        <v>4</v>
      </c>
      <c r="AB87" s="5" t="b">
        <v>0</v>
      </c>
      <c r="AC87" s="5" t="b">
        <v>0</v>
      </c>
      <c r="AD87" s="5" t="s">
        <v>147</v>
      </c>
      <c r="AE87" s="5" t="s">
        <v>951</v>
      </c>
      <c r="AF87" s="5">
        <v>1</v>
      </c>
      <c r="AG87" s="5" t="b">
        <v>0</v>
      </c>
      <c r="AH87" s="5" t="b">
        <v>0</v>
      </c>
      <c r="AI87" s="5" t="s">
        <v>149</v>
      </c>
      <c r="AJ87" s="5">
        <v>3</v>
      </c>
      <c r="AK87" s="5" t="b">
        <v>0</v>
      </c>
      <c r="AL87" s="5">
        <v>9</v>
      </c>
      <c r="AM87" s="5">
        <v>0</v>
      </c>
      <c r="AN87" s="5">
        <v>0</v>
      </c>
      <c r="AO87" s="5" t="b">
        <v>0</v>
      </c>
      <c r="AP87" s="5">
        <v>0.001</v>
      </c>
      <c r="AQ87" s="5">
        <v>256</v>
      </c>
      <c r="AR87" s="5" t="b">
        <v>1</v>
      </c>
      <c r="AS87" s="5">
        <v>1</v>
      </c>
      <c r="AT87" s="5">
        <v>3</v>
      </c>
      <c r="AU87" s="5">
        <v>0.1</v>
      </c>
      <c r="AV87" s="5">
        <v>0.1</v>
      </c>
      <c r="AW87" s="5" t="b">
        <v>0</v>
      </c>
      <c r="AX87" s="5">
        <v>32</v>
      </c>
      <c r="AY87" s="5">
        <v>42</v>
      </c>
      <c r="AZ87" s="5">
        <v>1</v>
      </c>
      <c r="BA87" s="5">
        <v>16</v>
      </c>
      <c r="BB87" s="5" t="s">
        <v>222</v>
      </c>
      <c r="BC87" s="5" t="s">
        <v>151</v>
      </c>
      <c r="BD87" s="5">
        <v>10</v>
      </c>
      <c r="BE87" s="5" t="b">
        <v>0</v>
      </c>
      <c r="BF87" s="5" t="s">
        <v>152</v>
      </c>
      <c r="BG87" s="5" t="s">
        <v>952</v>
      </c>
      <c r="BH87" s="5">
        <v>0</v>
      </c>
      <c r="BI87" s="5" t="s">
        <v>154</v>
      </c>
      <c r="BJ87" s="5">
        <v>2</v>
      </c>
      <c r="BK87" s="5"/>
      <c r="BL87" s="5" t="b">
        <v>0</v>
      </c>
      <c r="BM87" s="5">
        <v>0</v>
      </c>
      <c r="BN87" s="5">
        <v>0</v>
      </c>
      <c r="BO87" s="5" t="s">
        <v>155</v>
      </c>
      <c r="BP87" s="5">
        <v>128</v>
      </c>
      <c r="BQ87" s="5" t="s">
        <v>156</v>
      </c>
      <c r="BR87" s="5">
        <v>2</v>
      </c>
      <c r="BS87" s="5" t="s">
        <v>157</v>
      </c>
      <c r="BT87" s="5">
        <v>0</v>
      </c>
      <c r="BU87" s="5">
        <v>96</v>
      </c>
      <c r="BV87" s="5" t="b">
        <v>0</v>
      </c>
      <c r="BW87" s="5">
        <v>1000</v>
      </c>
      <c r="BX87" s="5">
        <v>0.3</v>
      </c>
      <c r="BY87" s="5" t="b">
        <v>0</v>
      </c>
      <c r="BZ87" s="5" t="s">
        <v>953</v>
      </c>
      <c r="CA87" s="5" t="s">
        <v>15</v>
      </c>
      <c r="CB87" s="5" t="s">
        <v>954</v>
      </c>
      <c r="CC87" s="5" t="s">
        <v>160</v>
      </c>
      <c r="CD87" s="5">
        <v>29</v>
      </c>
      <c r="CE87" s="5">
        <v>32</v>
      </c>
      <c r="CF87" s="5" t="b">
        <v>0</v>
      </c>
      <c r="CG87" s="5" t="s">
        <v>161</v>
      </c>
      <c r="CH87" s="5">
        <v>48</v>
      </c>
      <c r="CI87" s="5">
        <v>1</v>
      </c>
      <c r="CJ87" s="5">
        <v>0.25</v>
      </c>
      <c r="CK87" s="5">
        <v>7</v>
      </c>
      <c r="CL87" s="5" t="s">
        <v>955</v>
      </c>
      <c r="CM87" s="5">
        <v>7</v>
      </c>
      <c r="CN87" s="5" t="s">
        <v>163</v>
      </c>
      <c r="CO87" s="5">
        <v>0</v>
      </c>
      <c r="CP87" s="5" t="s">
        <v>227</v>
      </c>
      <c r="CQ87" s="5" t="s">
        <v>164</v>
      </c>
      <c r="CR87" s="5" t="s">
        <v>952</v>
      </c>
      <c r="CS87" s="5">
        <v>12</v>
      </c>
      <c r="CT87" s="5" t="b">
        <v>0</v>
      </c>
      <c r="CU87" s="5" t="s">
        <v>165</v>
      </c>
      <c r="CV87" s="5" t="b">
        <v>1</v>
      </c>
      <c r="CW87" s="5" t="b">
        <v>0</v>
      </c>
      <c r="CX87" s="5">
        <v>1</v>
      </c>
      <c r="CY87" s="5">
        <v>2</v>
      </c>
      <c r="CZ87" s="5" t="b">
        <v>0</v>
      </c>
      <c r="DA87" s="5" t="b">
        <v>0</v>
      </c>
      <c r="DB87" s="5" t="b">
        <v>0</v>
      </c>
      <c r="DC87" s="5" t="s">
        <v>166</v>
      </c>
      <c r="DD87" s="5" t="s">
        <v>167</v>
      </c>
      <c r="DE87" s="5" t="s">
        <v>168</v>
      </c>
      <c r="DF87" s="5">
        <v>0.5</v>
      </c>
      <c r="DG87" s="5">
        <v>10</v>
      </c>
      <c r="DH87" s="5">
        <v>0.3</v>
      </c>
      <c r="DI87" s="5">
        <v>1</v>
      </c>
      <c r="DJ87" s="5">
        <v>1</v>
      </c>
      <c r="DK87" s="5" t="s">
        <v>169</v>
      </c>
      <c r="DL87" s="5" t="b">
        <v>0</v>
      </c>
      <c r="DM87" s="5">
        <v>32</v>
      </c>
      <c r="DN87" s="5">
        <v>1</v>
      </c>
      <c r="DO87" s="5" t="s">
        <v>170</v>
      </c>
      <c r="DP87" s="5" t="s">
        <v>954</v>
      </c>
      <c r="DQ87" s="5" t="s">
        <v>171</v>
      </c>
      <c r="DR87" s="5" t="s">
        <v>172</v>
      </c>
      <c r="DS87" s="7" t="str">
        <f>_xlfn.XLOOKUP(CP87,datasetmap!B:B,datasetmap!A:A)</f>
        <v>JV</v>
      </c>
      <c r="DT87" s="8">
        <f t="shared" si="1"/>
        <v>15.116790016</v>
      </c>
    </row>
    <row r="88" ht="17.6" spans="1:124">
      <c r="A88" s="5" t="s">
        <v>956</v>
      </c>
      <c r="B88" s="5">
        <v>32</v>
      </c>
      <c r="C88" s="5" t="s">
        <v>141</v>
      </c>
      <c r="D88" s="5" t="s">
        <v>957</v>
      </c>
      <c r="E88" s="5" t="s">
        <v>958</v>
      </c>
      <c r="F88" s="5" t="s">
        <v>959</v>
      </c>
      <c r="G88" s="6">
        <v>1.77897494006863e+18</v>
      </c>
      <c r="H88" s="5">
        <v>0.743781161568521</v>
      </c>
      <c r="I88" s="5">
        <v>0.724273001595264</v>
      </c>
      <c r="J88" s="5">
        <v>2.815669422</v>
      </c>
      <c r="K88" s="5">
        <v>0.743781161568521</v>
      </c>
      <c r="L88" s="6">
        <v>1.77897494006856e+18</v>
      </c>
      <c r="M88" s="5">
        <v>0.760975609756097</v>
      </c>
      <c r="N88" s="6">
        <v>1.77897494593762e+18</v>
      </c>
      <c r="O88" s="6">
        <v>1.77897480173867e+18</v>
      </c>
      <c r="P88" s="5">
        <v>128.997042091</v>
      </c>
      <c r="Q88" s="5">
        <v>0.25</v>
      </c>
      <c r="R88" s="5">
        <v>6</v>
      </c>
      <c r="S88" s="5" t="s">
        <v>145</v>
      </c>
      <c r="T88" s="5" t="s">
        <v>146</v>
      </c>
      <c r="U88" s="5" t="b">
        <v>0</v>
      </c>
      <c r="V88" s="5">
        <v>25</v>
      </c>
      <c r="W88" s="5">
        <v>0</v>
      </c>
      <c r="X88" s="5">
        <v>10</v>
      </c>
      <c r="Y88" s="5">
        <v>8</v>
      </c>
      <c r="Z88" s="5" t="b">
        <v>0</v>
      </c>
      <c r="AA88" s="5">
        <v>4</v>
      </c>
      <c r="AB88" s="5" t="b">
        <v>0</v>
      </c>
      <c r="AC88" s="5" t="b">
        <v>0</v>
      </c>
      <c r="AD88" s="5" t="s">
        <v>147</v>
      </c>
      <c r="AE88" s="5" t="s">
        <v>960</v>
      </c>
      <c r="AF88" s="5">
        <v>1</v>
      </c>
      <c r="AG88" s="5" t="b">
        <v>0</v>
      </c>
      <c r="AH88" s="5" t="b">
        <v>0</v>
      </c>
      <c r="AI88" s="5" t="s">
        <v>149</v>
      </c>
      <c r="AJ88" s="5">
        <v>3</v>
      </c>
      <c r="AK88" s="5" t="b">
        <v>0</v>
      </c>
      <c r="AL88" s="5">
        <v>2</v>
      </c>
      <c r="AM88" s="5">
        <v>0</v>
      </c>
      <c r="AN88" s="5">
        <v>0</v>
      </c>
      <c r="AO88" s="5" t="b">
        <v>0</v>
      </c>
      <c r="AP88" s="5">
        <v>0.001</v>
      </c>
      <c r="AQ88" s="5">
        <v>256</v>
      </c>
      <c r="AR88" s="5" t="b">
        <v>1</v>
      </c>
      <c r="AS88" s="5">
        <v>1</v>
      </c>
      <c r="AT88" s="5">
        <v>3</v>
      </c>
      <c r="AU88" s="5">
        <v>0.1</v>
      </c>
      <c r="AV88" s="5">
        <v>0.1</v>
      </c>
      <c r="AW88" s="5" t="b">
        <v>0</v>
      </c>
      <c r="AX88" s="5">
        <v>32</v>
      </c>
      <c r="AY88" s="5">
        <v>42</v>
      </c>
      <c r="AZ88" s="5">
        <v>1</v>
      </c>
      <c r="BA88" s="5">
        <v>16</v>
      </c>
      <c r="BB88" s="5" t="s">
        <v>233</v>
      </c>
      <c r="BC88" s="5" t="s">
        <v>151</v>
      </c>
      <c r="BD88" s="5">
        <v>10</v>
      </c>
      <c r="BE88" s="5" t="b">
        <v>0</v>
      </c>
      <c r="BF88" s="5" t="s">
        <v>152</v>
      </c>
      <c r="BG88" s="5" t="s">
        <v>961</v>
      </c>
      <c r="BH88" s="5">
        <v>0</v>
      </c>
      <c r="BI88" s="5" t="s">
        <v>154</v>
      </c>
      <c r="BJ88" s="5">
        <v>2</v>
      </c>
      <c r="BK88" s="5"/>
      <c r="BL88" s="5" t="b">
        <v>0</v>
      </c>
      <c r="BM88" s="5">
        <v>0</v>
      </c>
      <c r="BN88" s="5">
        <v>0</v>
      </c>
      <c r="BO88" s="5" t="s">
        <v>155</v>
      </c>
      <c r="BP88" s="5">
        <v>128</v>
      </c>
      <c r="BQ88" s="5" t="s">
        <v>156</v>
      </c>
      <c r="BR88" s="5">
        <v>2</v>
      </c>
      <c r="BS88" s="5" t="s">
        <v>157</v>
      </c>
      <c r="BT88" s="5">
        <v>0</v>
      </c>
      <c r="BU88" s="5">
        <v>96</v>
      </c>
      <c r="BV88" s="5" t="b">
        <v>0</v>
      </c>
      <c r="BW88" s="5">
        <v>1000</v>
      </c>
      <c r="BX88" s="5">
        <v>0.3</v>
      </c>
      <c r="BY88" s="5" t="b">
        <v>0</v>
      </c>
      <c r="BZ88" s="5" t="s">
        <v>962</v>
      </c>
      <c r="CA88" s="5" t="s">
        <v>15</v>
      </c>
      <c r="CB88" s="5" t="s">
        <v>963</v>
      </c>
      <c r="CC88" s="5" t="s">
        <v>160</v>
      </c>
      <c r="CD88" s="5">
        <v>405</v>
      </c>
      <c r="CE88" s="5">
        <v>32</v>
      </c>
      <c r="CF88" s="5" t="b">
        <v>0</v>
      </c>
      <c r="CG88" s="5" t="s">
        <v>161</v>
      </c>
      <c r="CH88" s="5">
        <v>48</v>
      </c>
      <c r="CI88" s="5">
        <v>1</v>
      </c>
      <c r="CJ88" s="5">
        <v>0.25</v>
      </c>
      <c r="CK88" s="5">
        <v>7</v>
      </c>
      <c r="CL88" s="5" t="s">
        <v>964</v>
      </c>
      <c r="CM88" s="5">
        <v>7</v>
      </c>
      <c r="CN88" s="5" t="s">
        <v>163</v>
      </c>
      <c r="CO88" s="5">
        <v>0</v>
      </c>
      <c r="CP88" s="5" t="s">
        <v>238</v>
      </c>
      <c r="CQ88" s="5" t="s">
        <v>164</v>
      </c>
      <c r="CR88" s="5" t="s">
        <v>961</v>
      </c>
      <c r="CS88" s="5">
        <v>61</v>
      </c>
      <c r="CT88" s="5" t="b">
        <v>0</v>
      </c>
      <c r="CU88" s="5" t="s">
        <v>165</v>
      </c>
      <c r="CV88" s="5" t="b">
        <v>1</v>
      </c>
      <c r="CW88" s="5" t="b">
        <v>0</v>
      </c>
      <c r="CX88" s="5">
        <v>1</v>
      </c>
      <c r="CY88" s="5">
        <v>2</v>
      </c>
      <c r="CZ88" s="5" t="b">
        <v>0</v>
      </c>
      <c r="DA88" s="5" t="b">
        <v>0</v>
      </c>
      <c r="DB88" s="5" t="b">
        <v>0</v>
      </c>
      <c r="DC88" s="5" t="s">
        <v>166</v>
      </c>
      <c r="DD88" s="5" t="s">
        <v>167</v>
      </c>
      <c r="DE88" s="5" t="s">
        <v>168</v>
      </c>
      <c r="DF88" s="5">
        <v>0.5</v>
      </c>
      <c r="DG88" s="5">
        <v>10</v>
      </c>
      <c r="DH88" s="5">
        <v>0.3</v>
      </c>
      <c r="DI88" s="5">
        <v>1</v>
      </c>
      <c r="DJ88" s="5">
        <v>1</v>
      </c>
      <c r="DK88" s="5" t="s">
        <v>169</v>
      </c>
      <c r="DL88" s="5" t="b">
        <v>0</v>
      </c>
      <c r="DM88" s="5">
        <v>32</v>
      </c>
      <c r="DN88" s="5">
        <v>1</v>
      </c>
      <c r="DO88" s="5" t="s">
        <v>170</v>
      </c>
      <c r="DP88" s="5" t="s">
        <v>963</v>
      </c>
      <c r="DQ88" s="5" t="s">
        <v>171</v>
      </c>
      <c r="DR88" s="5" t="s">
        <v>172</v>
      </c>
      <c r="DS88" s="7" t="str">
        <f>_xlfn.XLOOKUP(CP88,datasetmap!B:B,datasetmap!A:A)</f>
        <v>HB</v>
      </c>
      <c r="DT88" s="8">
        <f t="shared" si="1"/>
        <v>5.868989952</v>
      </c>
    </row>
    <row r="89" ht="17.6" spans="1:124">
      <c r="A89" s="5" t="s">
        <v>965</v>
      </c>
      <c r="B89" s="5">
        <v>32</v>
      </c>
      <c r="C89" s="5" t="s">
        <v>141</v>
      </c>
      <c r="D89" s="5" t="s">
        <v>966</v>
      </c>
      <c r="E89" s="5" t="s">
        <v>967</v>
      </c>
      <c r="F89" s="5" t="s">
        <v>968</v>
      </c>
      <c r="G89" s="6">
        <v>1.77897475816893e+18</v>
      </c>
      <c r="H89" s="5">
        <v>0.353729350796011</v>
      </c>
      <c r="I89" s="5">
        <v>0.299976955545241</v>
      </c>
      <c r="J89" s="5">
        <v>6.653811199</v>
      </c>
      <c r="K89" s="5">
        <v>0.353729350796011</v>
      </c>
      <c r="L89" s="6">
        <v>1.77897475816888e+18</v>
      </c>
      <c r="M89" s="5">
        <v>0.318823529411764</v>
      </c>
      <c r="N89" s="6">
        <v>1.778974765642e+18</v>
      </c>
      <c r="O89" s="6">
        <v>1.77897426154211e+18</v>
      </c>
      <c r="P89" s="5">
        <v>494.04316609</v>
      </c>
      <c r="Q89" s="5">
        <v>0.25</v>
      </c>
      <c r="R89" s="5">
        <v>6</v>
      </c>
      <c r="S89" s="5" t="s">
        <v>145</v>
      </c>
      <c r="T89" s="5" t="s">
        <v>146</v>
      </c>
      <c r="U89" s="5" t="b">
        <v>0</v>
      </c>
      <c r="V89" s="5">
        <v>25</v>
      </c>
      <c r="W89" s="5">
        <v>0</v>
      </c>
      <c r="X89" s="5">
        <v>10</v>
      </c>
      <c r="Y89" s="5">
        <v>8</v>
      </c>
      <c r="Z89" s="5" t="b">
        <v>0</v>
      </c>
      <c r="AA89" s="5">
        <v>4</v>
      </c>
      <c r="AB89" s="5" t="b">
        <v>0</v>
      </c>
      <c r="AC89" s="5" t="b">
        <v>0</v>
      </c>
      <c r="AD89" s="5" t="s">
        <v>147</v>
      </c>
      <c r="AE89" s="5" t="s">
        <v>969</v>
      </c>
      <c r="AF89" s="5">
        <v>1</v>
      </c>
      <c r="AG89" s="5" t="b">
        <v>0</v>
      </c>
      <c r="AH89" s="5" t="b">
        <v>0</v>
      </c>
      <c r="AI89" s="5" t="s">
        <v>149</v>
      </c>
      <c r="AJ89" s="5">
        <v>3</v>
      </c>
      <c r="AK89" s="5" t="b">
        <v>0</v>
      </c>
      <c r="AL89" s="5">
        <v>26</v>
      </c>
      <c r="AM89" s="5">
        <v>0</v>
      </c>
      <c r="AN89" s="5">
        <v>0</v>
      </c>
      <c r="AO89" s="5" t="b">
        <v>0</v>
      </c>
      <c r="AP89" s="5">
        <v>0.001</v>
      </c>
      <c r="AQ89" s="5">
        <v>256</v>
      </c>
      <c r="AR89" s="5" t="b">
        <v>1</v>
      </c>
      <c r="AS89" s="5">
        <v>1</v>
      </c>
      <c r="AT89" s="5">
        <v>3</v>
      </c>
      <c r="AU89" s="5">
        <v>0.1</v>
      </c>
      <c r="AV89" s="5">
        <v>0.1</v>
      </c>
      <c r="AW89" s="5" t="b">
        <v>0</v>
      </c>
      <c r="AX89" s="5">
        <v>32</v>
      </c>
      <c r="AY89" s="5">
        <v>42</v>
      </c>
      <c r="AZ89" s="5">
        <v>1</v>
      </c>
      <c r="BA89" s="5">
        <v>16</v>
      </c>
      <c r="BB89" s="5" t="s">
        <v>244</v>
      </c>
      <c r="BC89" s="5" t="s">
        <v>151</v>
      </c>
      <c r="BD89" s="5">
        <v>10</v>
      </c>
      <c r="BE89" s="5" t="b">
        <v>0</v>
      </c>
      <c r="BF89" s="5" t="s">
        <v>152</v>
      </c>
      <c r="BG89" s="5" t="s">
        <v>970</v>
      </c>
      <c r="BH89" s="5">
        <v>0</v>
      </c>
      <c r="BI89" s="5" t="s">
        <v>154</v>
      </c>
      <c r="BJ89" s="5">
        <v>2</v>
      </c>
      <c r="BK89" s="5"/>
      <c r="BL89" s="5" t="b">
        <v>0</v>
      </c>
      <c r="BM89" s="5">
        <v>0</v>
      </c>
      <c r="BN89" s="5">
        <v>0</v>
      </c>
      <c r="BO89" s="5" t="s">
        <v>155</v>
      </c>
      <c r="BP89" s="5">
        <v>128</v>
      </c>
      <c r="BQ89" s="5" t="s">
        <v>156</v>
      </c>
      <c r="BR89" s="5">
        <v>2</v>
      </c>
      <c r="BS89" s="5" t="s">
        <v>157</v>
      </c>
      <c r="BT89" s="5">
        <v>0</v>
      </c>
      <c r="BU89" s="5">
        <v>96</v>
      </c>
      <c r="BV89" s="5" t="b">
        <v>0</v>
      </c>
      <c r="BW89" s="5">
        <v>1000</v>
      </c>
      <c r="BX89" s="5">
        <v>0.3</v>
      </c>
      <c r="BY89" s="5" t="b">
        <v>0</v>
      </c>
      <c r="BZ89" s="5" t="s">
        <v>971</v>
      </c>
      <c r="CA89" s="5" t="s">
        <v>15</v>
      </c>
      <c r="CB89" s="5" t="s">
        <v>972</v>
      </c>
      <c r="CC89" s="5" t="s">
        <v>160</v>
      </c>
      <c r="CD89" s="5">
        <v>152</v>
      </c>
      <c r="CE89" s="5">
        <v>32</v>
      </c>
      <c r="CF89" s="5" t="b">
        <v>0</v>
      </c>
      <c r="CG89" s="5" t="s">
        <v>161</v>
      </c>
      <c r="CH89" s="5">
        <v>48</v>
      </c>
      <c r="CI89" s="5">
        <v>1</v>
      </c>
      <c r="CJ89" s="5">
        <v>0.25</v>
      </c>
      <c r="CK89" s="5">
        <v>7</v>
      </c>
      <c r="CL89" s="5" t="s">
        <v>973</v>
      </c>
      <c r="CM89" s="5">
        <v>7</v>
      </c>
      <c r="CN89" s="5" t="s">
        <v>163</v>
      </c>
      <c r="CO89" s="5">
        <v>0</v>
      </c>
      <c r="CP89" s="5" t="s">
        <v>249</v>
      </c>
      <c r="CQ89" s="5" t="s">
        <v>164</v>
      </c>
      <c r="CR89" s="5" t="s">
        <v>970</v>
      </c>
      <c r="CS89" s="5">
        <v>3</v>
      </c>
      <c r="CT89" s="5" t="b">
        <v>0</v>
      </c>
      <c r="CU89" s="5" t="s">
        <v>165</v>
      </c>
      <c r="CV89" s="5" t="b">
        <v>1</v>
      </c>
      <c r="CW89" s="5" t="b">
        <v>0</v>
      </c>
      <c r="CX89" s="5">
        <v>1</v>
      </c>
      <c r="CY89" s="5">
        <v>2</v>
      </c>
      <c r="CZ89" s="5" t="b">
        <v>0</v>
      </c>
      <c r="DA89" s="5" t="b">
        <v>0</v>
      </c>
      <c r="DB89" s="5" t="b">
        <v>0</v>
      </c>
      <c r="DC89" s="5" t="s">
        <v>166</v>
      </c>
      <c r="DD89" s="5" t="s">
        <v>167</v>
      </c>
      <c r="DE89" s="5" t="s">
        <v>168</v>
      </c>
      <c r="DF89" s="5">
        <v>0.5</v>
      </c>
      <c r="DG89" s="5">
        <v>10</v>
      </c>
      <c r="DH89" s="5">
        <v>0.3</v>
      </c>
      <c r="DI89" s="5">
        <v>1</v>
      </c>
      <c r="DJ89" s="5">
        <v>1</v>
      </c>
      <c r="DK89" s="5" t="s">
        <v>169</v>
      </c>
      <c r="DL89" s="5" t="b">
        <v>0</v>
      </c>
      <c r="DM89" s="5">
        <v>32</v>
      </c>
      <c r="DN89" s="5">
        <v>1</v>
      </c>
      <c r="DO89" s="5" t="s">
        <v>170</v>
      </c>
      <c r="DP89" s="5" t="s">
        <v>972</v>
      </c>
      <c r="DQ89" s="5" t="s">
        <v>171</v>
      </c>
      <c r="DR89" s="5" t="s">
        <v>172</v>
      </c>
      <c r="DS89" s="7" t="str">
        <f>_xlfn.XLOOKUP(CP89,datasetmap!B:B,datasetmap!A:A)</f>
        <v>HW</v>
      </c>
      <c r="DT89" s="8">
        <f t="shared" si="1"/>
        <v>7.473069824</v>
      </c>
    </row>
    <row r="90" ht="17.6" spans="1:124">
      <c r="A90" s="5" t="s">
        <v>974</v>
      </c>
      <c r="B90" s="5">
        <v>32</v>
      </c>
      <c r="C90" s="5" t="s">
        <v>141</v>
      </c>
      <c r="D90" s="5" t="s">
        <v>975</v>
      </c>
      <c r="E90" s="5" t="s">
        <v>976</v>
      </c>
      <c r="F90" s="5" t="s">
        <v>977</v>
      </c>
      <c r="G90" s="6">
        <v>1.77897423903622e+18</v>
      </c>
      <c r="H90" s="5">
        <v>0.327664243485495</v>
      </c>
      <c r="I90" s="5">
        <v>0.290528171617413</v>
      </c>
      <c r="J90" s="5">
        <v>8.038997253</v>
      </c>
      <c r="K90" s="5">
        <v>0.327664243485495</v>
      </c>
      <c r="L90" s="6">
        <v>1.77897423903618e+18</v>
      </c>
      <c r="M90" s="5">
        <v>0.323193916349809</v>
      </c>
      <c r="N90" s="6">
        <v>1.7789742476323e+18</v>
      </c>
      <c r="O90" s="6">
        <v>1.77897355628846e+18</v>
      </c>
      <c r="P90" s="5">
        <v>679.9913822</v>
      </c>
      <c r="Q90" s="5">
        <v>0.25</v>
      </c>
      <c r="R90" s="5">
        <v>6</v>
      </c>
      <c r="S90" s="5" t="s">
        <v>145</v>
      </c>
      <c r="T90" s="5" t="s">
        <v>146</v>
      </c>
      <c r="U90" s="5" t="b">
        <v>0</v>
      </c>
      <c r="V90" s="5">
        <v>25</v>
      </c>
      <c r="W90" s="5">
        <v>0</v>
      </c>
      <c r="X90" s="5">
        <v>10</v>
      </c>
      <c r="Y90" s="5">
        <v>8</v>
      </c>
      <c r="Z90" s="5" t="b">
        <v>0</v>
      </c>
      <c r="AA90" s="5">
        <v>4</v>
      </c>
      <c r="AB90" s="5" t="b">
        <v>0</v>
      </c>
      <c r="AC90" s="5" t="b">
        <v>0</v>
      </c>
      <c r="AD90" s="5" t="s">
        <v>147</v>
      </c>
      <c r="AE90" s="5" t="s">
        <v>978</v>
      </c>
      <c r="AF90" s="5">
        <v>1</v>
      </c>
      <c r="AG90" s="5" t="b">
        <v>0</v>
      </c>
      <c r="AH90" s="5" t="b">
        <v>0</v>
      </c>
      <c r="AI90" s="5" t="s">
        <v>149</v>
      </c>
      <c r="AJ90" s="5">
        <v>3</v>
      </c>
      <c r="AK90" s="5" t="b">
        <v>0</v>
      </c>
      <c r="AL90" s="5">
        <v>4</v>
      </c>
      <c r="AM90" s="5">
        <v>0</v>
      </c>
      <c r="AN90" s="5">
        <v>0</v>
      </c>
      <c r="AO90" s="5" t="b">
        <v>0</v>
      </c>
      <c r="AP90" s="5">
        <v>0.001</v>
      </c>
      <c r="AQ90" s="5">
        <v>256</v>
      </c>
      <c r="AR90" s="5" t="b">
        <v>1</v>
      </c>
      <c r="AS90" s="5">
        <v>1</v>
      </c>
      <c r="AT90" s="5">
        <v>3</v>
      </c>
      <c r="AU90" s="5">
        <v>0.1</v>
      </c>
      <c r="AV90" s="5">
        <v>0.1</v>
      </c>
      <c r="AW90" s="5" t="b">
        <v>0</v>
      </c>
      <c r="AX90" s="5">
        <v>32</v>
      </c>
      <c r="AY90" s="5">
        <v>42</v>
      </c>
      <c r="AZ90" s="5">
        <v>1</v>
      </c>
      <c r="BA90" s="5">
        <v>16</v>
      </c>
      <c r="BB90" s="5" t="s">
        <v>264</v>
      </c>
      <c r="BC90" s="5" t="s">
        <v>151</v>
      </c>
      <c r="BD90" s="5">
        <v>10</v>
      </c>
      <c r="BE90" s="5" t="b">
        <v>0</v>
      </c>
      <c r="BF90" s="5" t="s">
        <v>152</v>
      </c>
      <c r="BG90" s="5" t="s">
        <v>979</v>
      </c>
      <c r="BH90" s="5">
        <v>0</v>
      </c>
      <c r="BI90" s="5" t="s">
        <v>154</v>
      </c>
      <c r="BJ90" s="5">
        <v>2</v>
      </c>
      <c r="BK90" s="5"/>
      <c r="BL90" s="5" t="b">
        <v>0</v>
      </c>
      <c r="BM90" s="5">
        <v>0</v>
      </c>
      <c r="BN90" s="5">
        <v>0</v>
      </c>
      <c r="BO90" s="5" t="s">
        <v>155</v>
      </c>
      <c r="BP90" s="5">
        <v>128</v>
      </c>
      <c r="BQ90" s="5" t="s">
        <v>156</v>
      </c>
      <c r="BR90" s="5">
        <v>2</v>
      </c>
      <c r="BS90" s="5" t="s">
        <v>157</v>
      </c>
      <c r="BT90" s="5">
        <v>0</v>
      </c>
      <c r="BU90" s="5">
        <v>96</v>
      </c>
      <c r="BV90" s="5" t="b">
        <v>0</v>
      </c>
      <c r="BW90" s="5">
        <v>1000</v>
      </c>
      <c r="BX90" s="5">
        <v>0.3</v>
      </c>
      <c r="BY90" s="5" t="b">
        <v>0</v>
      </c>
      <c r="BZ90" s="5" t="s">
        <v>980</v>
      </c>
      <c r="CA90" s="5" t="s">
        <v>15</v>
      </c>
      <c r="CB90" s="5" t="s">
        <v>981</v>
      </c>
      <c r="CC90" s="5" t="s">
        <v>160</v>
      </c>
      <c r="CD90" s="5">
        <v>1751</v>
      </c>
      <c r="CE90" s="5">
        <v>32</v>
      </c>
      <c r="CF90" s="5" t="b">
        <v>0</v>
      </c>
      <c r="CG90" s="5" t="s">
        <v>161</v>
      </c>
      <c r="CH90" s="5">
        <v>48</v>
      </c>
      <c r="CI90" s="5">
        <v>1</v>
      </c>
      <c r="CJ90" s="5">
        <v>0.25</v>
      </c>
      <c r="CK90" s="5">
        <v>7</v>
      </c>
      <c r="CL90" s="5" t="s">
        <v>982</v>
      </c>
      <c r="CM90" s="5">
        <v>7</v>
      </c>
      <c r="CN90" s="5" t="s">
        <v>163</v>
      </c>
      <c r="CO90" s="5">
        <v>0</v>
      </c>
      <c r="CP90" s="5" t="s">
        <v>269</v>
      </c>
      <c r="CQ90" s="5" t="s">
        <v>164</v>
      </c>
      <c r="CR90" s="5" t="s">
        <v>979</v>
      </c>
      <c r="CS90" s="5">
        <v>3</v>
      </c>
      <c r="CT90" s="5" t="b">
        <v>0</v>
      </c>
      <c r="CU90" s="5" t="s">
        <v>165</v>
      </c>
      <c r="CV90" s="5" t="b">
        <v>1</v>
      </c>
      <c r="CW90" s="5" t="b">
        <v>0</v>
      </c>
      <c r="CX90" s="5">
        <v>1</v>
      </c>
      <c r="CY90" s="5">
        <v>2</v>
      </c>
      <c r="CZ90" s="5" t="b">
        <v>0</v>
      </c>
      <c r="DA90" s="5" t="b">
        <v>0</v>
      </c>
      <c r="DB90" s="5" t="b">
        <v>0</v>
      </c>
      <c r="DC90" s="5" t="s">
        <v>166</v>
      </c>
      <c r="DD90" s="5" t="s">
        <v>167</v>
      </c>
      <c r="DE90" s="5" t="s">
        <v>168</v>
      </c>
      <c r="DF90" s="5">
        <v>0.5</v>
      </c>
      <c r="DG90" s="5">
        <v>10</v>
      </c>
      <c r="DH90" s="5">
        <v>0.3</v>
      </c>
      <c r="DI90" s="5">
        <v>1</v>
      </c>
      <c r="DJ90" s="5">
        <v>1</v>
      </c>
      <c r="DK90" s="5" t="s">
        <v>169</v>
      </c>
      <c r="DL90" s="5" t="b">
        <v>0</v>
      </c>
      <c r="DM90" s="5">
        <v>32</v>
      </c>
      <c r="DN90" s="5">
        <v>1</v>
      </c>
      <c r="DO90" s="5" t="s">
        <v>170</v>
      </c>
      <c r="DP90" s="5" t="s">
        <v>981</v>
      </c>
      <c r="DQ90" s="5" t="s">
        <v>171</v>
      </c>
      <c r="DR90" s="5" t="s">
        <v>172</v>
      </c>
      <c r="DS90" s="7" t="str">
        <f>_xlfn.XLOOKUP(CP90,datasetmap!B:B,datasetmap!A:A)</f>
        <v>EC</v>
      </c>
      <c r="DT90" s="8">
        <f t="shared" si="1"/>
        <v>8.596080128</v>
      </c>
    </row>
    <row r="91" ht="17.6" spans="1:124">
      <c r="A91" s="5" t="s">
        <v>983</v>
      </c>
      <c r="B91" s="5">
        <v>32</v>
      </c>
      <c r="C91" s="5" t="s">
        <v>141</v>
      </c>
      <c r="D91" s="5" t="s">
        <v>984</v>
      </c>
      <c r="E91" s="5" t="s">
        <v>985</v>
      </c>
      <c r="F91" s="5" t="s">
        <v>986</v>
      </c>
      <c r="G91" s="6">
        <v>1.77897353651913e+18</v>
      </c>
      <c r="H91" s="5">
        <v>0.842704782372412</v>
      </c>
      <c r="I91" s="5">
        <v>0.827229243654153</v>
      </c>
      <c r="J91" s="5">
        <v>1.69022467</v>
      </c>
      <c r="K91" s="5">
        <v>0.842704782372412</v>
      </c>
      <c r="L91" s="6">
        <v>1.77897353651905e+18</v>
      </c>
      <c r="M91" s="5">
        <v>0.826589595375722</v>
      </c>
      <c r="N91" s="6">
        <v>1.77897357457742e+18</v>
      </c>
      <c r="O91" s="6">
        <v>1.77897220790503e+18</v>
      </c>
      <c r="P91" s="5">
        <v>456.48146525</v>
      </c>
      <c r="Q91" s="5">
        <v>0.25</v>
      </c>
      <c r="R91" s="5">
        <v>6</v>
      </c>
      <c r="S91" s="5" t="s">
        <v>145</v>
      </c>
      <c r="T91" s="5" t="s">
        <v>146</v>
      </c>
      <c r="U91" s="5" t="b">
        <v>0</v>
      </c>
      <c r="V91" s="5">
        <v>25</v>
      </c>
      <c r="W91" s="5">
        <v>0</v>
      </c>
      <c r="X91" s="5">
        <v>10</v>
      </c>
      <c r="Y91" s="5">
        <v>8</v>
      </c>
      <c r="Z91" s="5" t="b">
        <v>0</v>
      </c>
      <c r="AA91" s="5">
        <v>4</v>
      </c>
      <c r="AB91" s="5" t="b">
        <v>0</v>
      </c>
      <c r="AC91" s="5" t="b">
        <v>0</v>
      </c>
      <c r="AD91" s="5" t="s">
        <v>147</v>
      </c>
      <c r="AE91" s="5" t="s">
        <v>987</v>
      </c>
      <c r="AF91" s="5">
        <v>1</v>
      </c>
      <c r="AG91" s="5" t="b">
        <v>0</v>
      </c>
      <c r="AH91" s="5" t="b">
        <v>0</v>
      </c>
      <c r="AI91" s="5" t="s">
        <v>149</v>
      </c>
      <c r="AJ91" s="5">
        <v>3</v>
      </c>
      <c r="AK91" s="5" t="b">
        <v>0</v>
      </c>
      <c r="AL91" s="5">
        <v>7</v>
      </c>
      <c r="AM91" s="5">
        <v>0</v>
      </c>
      <c r="AN91" s="5">
        <v>0</v>
      </c>
      <c r="AO91" s="5" t="b">
        <v>0</v>
      </c>
      <c r="AP91" s="5">
        <v>0.001</v>
      </c>
      <c r="AQ91" s="5">
        <v>256</v>
      </c>
      <c r="AR91" s="5" t="b">
        <v>1</v>
      </c>
      <c r="AS91" s="5">
        <v>1</v>
      </c>
      <c r="AT91" s="5">
        <v>3</v>
      </c>
      <c r="AU91" s="5">
        <v>0.1</v>
      </c>
      <c r="AV91" s="5">
        <v>0.1</v>
      </c>
      <c r="AW91" s="5" t="b">
        <v>0</v>
      </c>
      <c r="AX91" s="5">
        <v>32</v>
      </c>
      <c r="AY91" s="5">
        <v>7</v>
      </c>
      <c r="AZ91" s="5">
        <v>1</v>
      </c>
      <c r="BA91" s="5">
        <v>16</v>
      </c>
      <c r="BB91" s="5" t="s">
        <v>150</v>
      </c>
      <c r="BC91" s="5" t="s">
        <v>151</v>
      </c>
      <c r="BD91" s="5">
        <v>10</v>
      </c>
      <c r="BE91" s="5" t="b">
        <v>0</v>
      </c>
      <c r="BF91" s="5" t="s">
        <v>152</v>
      </c>
      <c r="BG91" s="5" t="s">
        <v>988</v>
      </c>
      <c r="BH91" s="5">
        <v>0</v>
      </c>
      <c r="BI91" s="5" t="s">
        <v>154</v>
      </c>
      <c r="BJ91" s="5">
        <v>2</v>
      </c>
      <c r="BK91" s="5"/>
      <c r="BL91" s="5" t="b">
        <v>0</v>
      </c>
      <c r="BM91" s="5">
        <v>0</v>
      </c>
      <c r="BN91" s="5">
        <v>0</v>
      </c>
      <c r="BO91" s="5" t="s">
        <v>155</v>
      </c>
      <c r="BP91" s="5">
        <v>128</v>
      </c>
      <c r="BQ91" s="5" t="s">
        <v>156</v>
      </c>
      <c r="BR91" s="5">
        <v>2</v>
      </c>
      <c r="BS91" s="5" t="s">
        <v>157</v>
      </c>
      <c r="BT91" s="5">
        <v>0</v>
      </c>
      <c r="BU91" s="5">
        <v>96</v>
      </c>
      <c r="BV91" s="5" t="b">
        <v>0</v>
      </c>
      <c r="BW91" s="5">
        <v>1000</v>
      </c>
      <c r="BX91" s="5">
        <v>0.3</v>
      </c>
      <c r="BY91" s="5" t="b">
        <v>0</v>
      </c>
      <c r="BZ91" s="5" t="s">
        <v>989</v>
      </c>
      <c r="CA91" s="5" t="s">
        <v>15</v>
      </c>
      <c r="CB91" s="5" t="s">
        <v>990</v>
      </c>
      <c r="CC91" s="5" t="s">
        <v>160</v>
      </c>
      <c r="CD91" s="5">
        <v>144</v>
      </c>
      <c r="CE91" s="5">
        <v>32</v>
      </c>
      <c r="CF91" s="5" t="b">
        <v>0</v>
      </c>
      <c r="CG91" s="5" t="s">
        <v>161</v>
      </c>
      <c r="CH91" s="5">
        <v>48</v>
      </c>
      <c r="CI91" s="5">
        <v>1</v>
      </c>
      <c r="CJ91" s="5">
        <v>0.25</v>
      </c>
      <c r="CK91" s="5">
        <v>7</v>
      </c>
      <c r="CL91" s="5" t="s">
        <v>991</v>
      </c>
      <c r="CM91" s="5">
        <v>7</v>
      </c>
      <c r="CN91" s="5" t="s">
        <v>163</v>
      </c>
      <c r="CO91" s="5">
        <v>0</v>
      </c>
      <c r="CP91" s="5" t="s">
        <v>8</v>
      </c>
      <c r="CQ91" s="5" t="s">
        <v>164</v>
      </c>
      <c r="CR91" s="5" t="s">
        <v>988</v>
      </c>
      <c r="CS91" s="5">
        <v>963</v>
      </c>
      <c r="CT91" s="5" t="b">
        <v>0</v>
      </c>
      <c r="CU91" s="5" t="s">
        <v>165</v>
      </c>
      <c r="CV91" s="5" t="b">
        <v>1</v>
      </c>
      <c r="CW91" s="5" t="b">
        <v>0</v>
      </c>
      <c r="CX91" s="5">
        <v>1</v>
      </c>
      <c r="CY91" s="5">
        <v>2</v>
      </c>
      <c r="CZ91" s="5" t="b">
        <v>0</v>
      </c>
      <c r="DA91" s="5" t="b">
        <v>0</v>
      </c>
      <c r="DB91" s="5" t="b">
        <v>0</v>
      </c>
      <c r="DC91" s="5" t="s">
        <v>166</v>
      </c>
      <c r="DD91" s="5" t="s">
        <v>167</v>
      </c>
      <c r="DE91" s="5" t="s">
        <v>168</v>
      </c>
      <c r="DF91" s="5">
        <v>0.5</v>
      </c>
      <c r="DG91" s="5">
        <v>10</v>
      </c>
      <c r="DH91" s="5">
        <v>0.3</v>
      </c>
      <c r="DI91" s="5">
        <v>1</v>
      </c>
      <c r="DJ91" s="5">
        <v>1</v>
      </c>
      <c r="DK91" s="5" t="s">
        <v>169</v>
      </c>
      <c r="DL91" s="5" t="b">
        <v>0</v>
      </c>
      <c r="DM91" s="5">
        <v>32</v>
      </c>
      <c r="DN91" s="5">
        <v>1</v>
      </c>
      <c r="DO91" s="5" t="s">
        <v>170</v>
      </c>
      <c r="DP91" s="5" t="s">
        <v>990</v>
      </c>
      <c r="DQ91" s="5" t="s">
        <v>171</v>
      </c>
      <c r="DR91" s="5" t="s">
        <v>172</v>
      </c>
      <c r="DS91" s="7" t="str">
        <f>_xlfn.XLOOKUP(CP91,datasetmap!B:B,datasetmap!A:A)</f>
        <v>PEMS-SF</v>
      </c>
      <c r="DT91" s="8">
        <f t="shared" si="1"/>
        <v>38.05828992</v>
      </c>
    </row>
    <row r="92" ht="17.6" spans="1:124">
      <c r="A92" s="5" t="s">
        <v>992</v>
      </c>
      <c r="B92" s="5">
        <v>32</v>
      </c>
      <c r="C92" s="5" t="s">
        <v>141</v>
      </c>
      <c r="D92" s="5" t="s">
        <v>993</v>
      </c>
      <c r="E92" s="5" t="s">
        <v>994</v>
      </c>
      <c r="F92" s="5" t="s">
        <v>995</v>
      </c>
      <c r="G92" s="6">
        <v>1.77897353610225e+18</v>
      </c>
      <c r="H92" s="5">
        <v>0.877944057779584</v>
      </c>
      <c r="I92" s="5">
        <v>0.865367985672863</v>
      </c>
      <c r="J92" s="5">
        <v>3.512596969</v>
      </c>
      <c r="K92" s="5">
        <v>0.877944057779584</v>
      </c>
      <c r="L92" s="6">
        <v>1.77897353610219e+18</v>
      </c>
      <c r="M92" s="5">
        <v>0.8625</v>
      </c>
      <c r="N92" s="6">
        <v>1.77897353992223e+18</v>
      </c>
      <c r="O92" s="6">
        <v>1.77897325817369e+18</v>
      </c>
      <c r="P92" s="5">
        <v>275.948646274</v>
      </c>
      <c r="Q92" s="5">
        <v>0.25</v>
      </c>
      <c r="R92" s="5">
        <v>6</v>
      </c>
      <c r="S92" s="5" t="s">
        <v>145</v>
      </c>
      <c r="T92" s="5" t="s">
        <v>146</v>
      </c>
      <c r="U92" s="5" t="b">
        <v>0</v>
      </c>
      <c r="V92" s="5">
        <v>25</v>
      </c>
      <c r="W92" s="5">
        <v>0</v>
      </c>
      <c r="X92" s="5">
        <v>10</v>
      </c>
      <c r="Y92" s="5">
        <v>8</v>
      </c>
      <c r="Z92" s="5" t="b">
        <v>0</v>
      </c>
      <c r="AA92" s="5">
        <v>4</v>
      </c>
      <c r="AB92" s="5" t="b">
        <v>0</v>
      </c>
      <c r="AC92" s="5" t="b">
        <v>0</v>
      </c>
      <c r="AD92" s="5" t="s">
        <v>147</v>
      </c>
      <c r="AE92" s="5" t="s">
        <v>996</v>
      </c>
      <c r="AF92" s="5">
        <v>1</v>
      </c>
      <c r="AG92" s="5" t="b">
        <v>0</v>
      </c>
      <c r="AH92" s="5" t="b">
        <v>0</v>
      </c>
      <c r="AI92" s="5" t="s">
        <v>149</v>
      </c>
      <c r="AJ92" s="5">
        <v>3</v>
      </c>
      <c r="AK92" s="5" t="b">
        <v>0</v>
      </c>
      <c r="AL92" s="5">
        <v>8</v>
      </c>
      <c r="AM92" s="5">
        <v>0</v>
      </c>
      <c r="AN92" s="5">
        <v>0</v>
      </c>
      <c r="AO92" s="5" t="b">
        <v>0</v>
      </c>
      <c r="AP92" s="5">
        <v>0.001</v>
      </c>
      <c r="AQ92" s="5">
        <v>256</v>
      </c>
      <c r="AR92" s="5" t="b">
        <v>1</v>
      </c>
      <c r="AS92" s="5">
        <v>1</v>
      </c>
      <c r="AT92" s="5">
        <v>3</v>
      </c>
      <c r="AU92" s="5">
        <v>0.1</v>
      </c>
      <c r="AV92" s="5">
        <v>0.1</v>
      </c>
      <c r="AW92" s="5" t="b">
        <v>0</v>
      </c>
      <c r="AX92" s="5">
        <v>32</v>
      </c>
      <c r="AY92" s="5">
        <v>42</v>
      </c>
      <c r="AZ92" s="5">
        <v>1</v>
      </c>
      <c r="BA92" s="5">
        <v>16</v>
      </c>
      <c r="BB92" s="5" t="s">
        <v>275</v>
      </c>
      <c r="BC92" s="5" t="s">
        <v>151</v>
      </c>
      <c r="BD92" s="5">
        <v>10</v>
      </c>
      <c r="BE92" s="5" t="b">
        <v>0</v>
      </c>
      <c r="BF92" s="5" t="s">
        <v>152</v>
      </c>
      <c r="BG92" s="5" t="s">
        <v>997</v>
      </c>
      <c r="BH92" s="5">
        <v>0</v>
      </c>
      <c r="BI92" s="5" t="s">
        <v>154</v>
      </c>
      <c r="BJ92" s="5">
        <v>2</v>
      </c>
      <c r="BK92" s="5"/>
      <c r="BL92" s="5" t="b">
        <v>0</v>
      </c>
      <c r="BM92" s="5">
        <v>0</v>
      </c>
      <c r="BN92" s="5">
        <v>0</v>
      </c>
      <c r="BO92" s="5" t="s">
        <v>155</v>
      </c>
      <c r="BP92" s="5">
        <v>128</v>
      </c>
      <c r="BQ92" s="5" t="s">
        <v>156</v>
      </c>
      <c r="BR92" s="5">
        <v>2</v>
      </c>
      <c r="BS92" s="5" t="s">
        <v>157</v>
      </c>
      <c r="BT92" s="5">
        <v>0</v>
      </c>
      <c r="BU92" s="5">
        <v>96</v>
      </c>
      <c r="BV92" s="5" t="b">
        <v>0</v>
      </c>
      <c r="BW92" s="5">
        <v>1000</v>
      </c>
      <c r="BX92" s="5">
        <v>0.3</v>
      </c>
      <c r="BY92" s="5" t="b">
        <v>0</v>
      </c>
      <c r="BZ92" s="5" t="s">
        <v>998</v>
      </c>
      <c r="CA92" s="5" t="s">
        <v>15</v>
      </c>
      <c r="CB92" s="5" t="s">
        <v>999</v>
      </c>
      <c r="CC92" s="5" t="s">
        <v>160</v>
      </c>
      <c r="CD92" s="5">
        <v>315</v>
      </c>
      <c r="CE92" s="5">
        <v>32</v>
      </c>
      <c r="CF92" s="5" t="b">
        <v>0</v>
      </c>
      <c r="CG92" s="5" t="s">
        <v>161</v>
      </c>
      <c r="CH92" s="5">
        <v>48</v>
      </c>
      <c r="CI92" s="5">
        <v>1</v>
      </c>
      <c r="CJ92" s="5">
        <v>0.25</v>
      </c>
      <c r="CK92" s="5">
        <v>7</v>
      </c>
      <c r="CL92" s="5" t="s">
        <v>1000</v>
      </c>
      <c r="CM92" s="5">
        <v>7</v>
      </c>
      <c r="CN92" s="5" t="s">
        <v>163</v>
      </c>
      <c r="CO92" s="5">
        <v>0</v>
      </c>
      <c r="CP92" s="5" t="s">
        <v>280</v>
      </c>
      <c r="CQ92" s="5" t="s">
        <v>164</v>
      </c>
      <c r="CR92" s="5" t="s">
        <v>997</v>
      </c>
      <c r="CS92" s="5">
        <v>3</v>
      </c>
      <c r="CT92" s="5" t="b">
        <v>0</v>
      </c>
      <c r="CU92" s="5" t="s">
        <v>165</v>
      </c>
      <c r="CV92" s="5" t="b">
        <v>1</v>
      </c>
      <c r="CW92" s="5" t="b">
        <v>0</v>
      </c>
      <c r="CX92" s="5">
        <v>1</v>
      </c>
      <c r="CY92" s="5">
        <v>2</v>
      </c>
      <c r="CZ92" s="5" t="b">
        <v>0</v>
      </c>
      <c r="DA92" s="5" t="b">
        <v>0</v>
      </c>
      <c r="DB92" s="5" t="b">
        <v>0</v>
      </c>
      <c r="DC92" s="5" t="s">
        <v>166</v>
      </c>
      <c r="DD92" s="5" t="s">
        <v>167</v>
      </c>
      <c r="DE92" s="5" t="s">
        <v>168</v>
      </c>
      <c r="DF92" s="5">
        <v>0.5</v>
      </c>
      <c r="DG92" s="5">
        <v>10</v>
      </c>
      <c r="DH92" s="5">
        <v>0.3</v>
      </c>
      <c r="DI92" s="5">
        <v>1</v>
      </c>
      <c r="DJ92" s="5">
        <v>1</v>
      </c>
      <c r="DK92" s="5" t="s">
        <v>169</v>
      </c>
      <c r="DL92" s="5" t="b">
        <v>0</v>
      </c>
      <c r="DM92" s="5">
        <v>32</v>
      </c>
      <c r="DN92" s="5">
        <v>1</v>
      </c>
      <c r="DO92" s="5" t="s">
        <v>170</v>
      </c>
      <c r="DP92" s="5" t="s">
        <v>999</v>
      </c>
      <c r="DQ92" s="5" t="s">
        <v>171</v>
      </c>
      <c r="DR92" s="5" t="s">
        <v>172</v>
      </c>
      <c r="DS92" s="7" t="str">
        <f>_xlfn.XLOOKUP(CP92,datasetmap!B:B,datasetmap!A:A)</f>
        <v>UWG</v>
      </c>
      <c r="DT92" s="8">
        <f t="shared" si="1"/>
        <v>3.819980032</v>
      </c>
    </row>
    <row r="93" ht="17.6" spans="1:124">
      <c r="A93" s="5" t="s">
        <v>1001</v>
      </c>
      <c r="B93" s="5">
        <v>32</v>
      </c>
      <c r="C93" s="5" t="s">
        <v>141</v>
      </c>
      <c r="D93" s="5" t="s">
        <v>1002</v>
      </c>
      <c r="E93" s="5" t="s">
        <v>1003</v>
      </c>
      <c r="F93" s="5" t="s">
        <v>1004</v>
      </c>
      <c r="G93" s="6">
        <v>1.77897322786845e+18</v>
      </c>
      <c r="H93" s="5">
        <v>0.990566947286749</v>
      </c>
      <c r="I93" s="5">
        <v>0.990432864175669</v>
      </c>
      <c r="J93" s="5">
        <v>12.240408103</v>
      </c>
      <c r="K93" s="5">
        <v>0.990566947286749</v>
      </c>
      <c r="L93" s="6">
        <v>1.7789732278684e+18</v>
      </c>
      <c r="M93" s="5">
        <v>0.990450204638472</v>
      </c>
      <c r="N93" s="6">
        <v>1.77897324465032e+18</v>
      </c>
      <c r="O93" s="6">
        <v>1.77897070138638e+18</v>
      </c>
      <c r="P93" s="5">
        <v>2494.84125015</v>
      </c>
      <c r="Q93" s="5">
        <v>0.25</v>
      </c>
      <c r="R93" s="5">
        <v>6</v>
      </c>
      <c r="S93" s="5" t="s">
        <v>145</v>
      </c>
      <c r="T93" s="5" t="s">
        <v>146</v>
      </c>
      <c r="U93" s="5" t="b">
        <v>0</v>
      </c>
      <c r="V93" s="5">
        <v>25</v>
      </c>
      <c r="W93" s="5">
        <v>0</v>
      </c>
      <c r="X93" s="5">
        <v>10</v>
      </c>
      <c r="Y93" s="5">
        <v>8</v>
      </c>
      <c r="Z93" s="5" t="b">
        <v>0</v>
      </c>
      <c r="AA93" s="5">
        <v>4</v>
      </c>
      <c r="AB93" s="5" t="b">
        <v>0</v>
      </c>
      <c r="AC93" s="5" t="b">
        <v>0</v>
      </c>
      <c r="AD93" s="5" t="s">
        <v>147</v>
      </c>
      <c r="AE93" s="5" t="s">
        <v>1005</v>
      </c>
      <c r="AF93" s="5">
        <v>1</v>
      </c>
      <c r="AG93" s="5" t="b">
        <v>0</v>
      </c>
      <c r="AH93" s="5" t="b">
        <v>0</v>
      </c>
      <c r="AI93" s="5" t="s">
        <v>149</v>
      </c>
      <c r="AJ93" s="5">
        <v>3</v>
      </c>
      <c r="AK93" s="5" t="b">
        <v>0</v>
      </c>
      <c r="AL93" s="5">
        <v>10</v>
      </c>
      <c r="AM93" s="5">
        <v>0</v>
      </c>
      <c r="AN93" s="5">
        <v>0</v>
      </c>
      <c r="AO93" s="5" t="b">
        <v>0</v>
      </c>
      <c r="AP93" s="5">
        <v>0.001</v>
      </c>
      <c r="AQ93" s="5">
        <v>256</v>
      </c>
      <c r="AR93" s="5" t="b">
        <v>1</v>
      </c>
      <c r="AS93" s="5">
        <v>1</v>
      </c>
      <c r="AT93" s="5">
        <v>3</v>
      </c>
      <c r="AU93" s="5">
        <v>0.1</v>
      </c>
      <c r="AV93" s="5">
        <v>0.1</v>
      </c>
      <c r="AW93" s="5" t="b">
        <v>0</v>
      </c>
      <c r="AX93" s="5">
        <v>32</v>
      </c>
      <c r="AY93" s="5">
        <v>7</v>
      </c>
      <c r="AZ93" s="5">
        <v>1</v>
      </c>
      <c r="BA93" s="5">
        <v>16</v>
      </c>
      <c r="BB93" s="5" t="s">
        <v>178</v>
      </c>
      <c r="BC93" s="5" t="s">
        <v>151</v>
      </c>
      <c r="BD93" s="5">
        <v>10</v>
      </c>
      <c r="BE93" s="5" t="b">
        <v>0</v>
      </c>
      <c r="BF93" s="5" t="s">
        <v>152</v>
      </c>
      <c r="BG93" s="5" t="s">
        <v>1006</v>
      </c>
      <c r="BH93" s="5">
        <v>0</v>
      </c>
      <c r="BI93" s="5" t="s">
        <v>154</v>
      </c>
      <c r="BJ93" s="5">
        <v>2</v>
      </c>
      <c r="BK93" s="5"/>
      <c r="BL93" s="5" t="b">
        <v>0</v>
      </c>
      <c r="BM93" s="5">
        <v>0</v>
      </c>
      <c r="BN93" s="5">
        <v>0</v>
      </c>
      <c r="BO93" s="5" t="s">
        <v>155</v>
      </c>
      <c r="BP93" s="5">
        <v>128</v>
      </c>
      <c r="BQ93" s="5" t="s">
        <v>156</v>
      </c>
      <c r="BR93" s="5">
        <v>2</v>
      </c>
      <c r="BS93" s="5" t="s">
        <v>157</v>
      </c>
      <c r="BT93" s="5">
        <v>0</v>
      </c>
      <c r="BU93" s="5">
        <v>96</v>
      </c>
      <c r="BV93" s="5" t="b">
        <v>0</v>
      </c>
      <c r="BW93" s="5">
        <v>1000</v>
      </c>
      <c r="BX93" s="5">
        <v>0.3</v>
      </c>
      <c r="BY93" s="5" t="b">
        <v>0</v>
      </c>
      <c r="BZ93" s="5" t="s">
        <v>1007</v>
      </c>
      <c r="CA93" s="5" t="s">
        <v>15</v>
      </c>
      <c r="CB93" s="5" t="s">
        <v>1008</v>
      </c>
      <c r="CC93" s="5" t="s">
        <v>160</v>
      </c>
      <c r="CD93" s="5">
        <v>93</v>
      </c>
      <c r="CE93" s="5">
        <v>32</v>
      </c>
      <c r="CF93" s="5" t="b">
        <v>0</v>
      </c>
      <c r="CG93" s="5" t="s">
        <v>161</v>
      </c>
      <c r="CH93" s="5">
        <v>48</v>
      </c>
      <c r="CI93" s="5">
        <v>1</v>
      </c>
      <c r="CJ93" s="5">
        <v>0.25</v>
      </c>
      <c r="CK93" s="5">
        <v>7</v>
      </c>
      <c r="CL93" s="5" t="s">
        <v>1009</v>
      </c>
      <c r="CM93" s="5">
        <v>7</v>
      </c>
      <c r="CN93" s="5" t="s">
        <v>163</v>
      </c>
      <c r="CO93" s="5">
        <v>0</v>
      </c>
      <c r="CP93" s="5" t="s">
        <v>183</v>
      </c>
      <c r="CQ93" s="5" t="s">
        <v>164</v>
      </c>
      <c r="CR93" s="5" t="s">
        <v>1006</v>
      </c>
      <c r="CS93" s="5">
        <v>13</v>
      </c>
      <c r="CT93" s="5" t="b">
        <v>0</v>
      </c>
      <c r="CU93" s="5" t="s">
        <v>165</v>
      </c>
      <c r="CV93" s="5" t="b">
        <v>1</v>
      </c>
      <c r="CW93" s="5" t="b">
        <v>0</v>
      </c>
      <c r="CX93" s="5">
        <v>1</v>
      </c>
      <c r="CY93" s="5">
        <v>2</v>
      </c>
      <c r="CZ93" s="5" t="b">
        <v>0</v>
      </c>
      <c r="DA93" s="5" t="b">
        <v>0</v>
      </c>
      <c r="DB93" s="5" t="b">
        <v>0</v>
      </c>
      <c r="DC93" s="5" t="s">
        <v>166</v>
      </c>
      <c r="DD93" s="5" t="s">
        <v>167</v>
      </c>
      <c r="DE93" s="5" t="s">
        <v>168</v>
      </c>
      <c r="DF93" s="5">
        <v>0.5</v>
      </c>
      <c r="DG93" s="5">
        <v>10</v>
      </c>
      <c r="DH93" s="5">
        <v>0.3</v>
      </c>
      <c r="DI93" s="5">
        <v>1</v>
      </c>
      <c r="DJ93" s="5">
        <v>1</v>
      </c>
      <c r="DK93" s="5" t="s">
        <v>169</v>
      </c>
      <c r="DL93" s="5" t="b">
        <v>0</v>
      </c>
      <c r="DM93" s="5">
        <v>32</v>
      </c>
      <c r="DN93" s="5">
        <v>1</v>
      </c>
      <c r="DO93" s="5" t="s">
        <v>170</v>
      </c>
      <c r="DP93" s="5" t="s">
        <v>1008</v>
      </c>
      <c r="DQ93" s="5" t="s">
        <v>171</v>
      </c>
      <c r="DR93" s="5" t="s">
        <v>172</v>
      </c>
      <c r="DS93" s="7" t="str">
        <f>_xlfn.XLOOKUP(CP93,datasetmap!B:B,datasetmap!A:A)</f>
        <v>SAD</v>
      </c>
      <c r="DT93" s="8">
        <f t="shared" si="1"/>
        <v>16.781869824</v>
      </c>
    </row>
    <row r="94" ht="17.6" spans="1:124">
      <c r="A94" s="5" t="s">
        <v>1010</v>
      </c>
      <c r="B94" s="5">
        <v>32</v>
      </c>
      <c r="C94" s="5" t="s">
        <v>141</v>
      </c>
      <c r="D94" s="5" t="s">
        <v>1011</v>
      </c>
      <c r="E94" s="5" t="s">
        <v>1012</v>
      </c>
      <c r="F94" s="5" t="s">
        <v>1013</v>
      </c>
      <c r="G94" s="6">
        <v>1.77897087890564e+18</v>
      </c>
      <c r="H94" s="5">
        <v>0.539125574462799</v>
      </c>
      <c r="I94" s="5">
        <v>0.538190473246576</v>
      </c>
      <c r="J94" s="5">
        <v>5.491174118</v>
      </c>
      <c r="K94" s="5">
        <v>0.539125574462799</v>
      </c>
      <c r="L94" s="6">
        <v>1.77897087890555e+18</v>
      </c>
      <c r="M94" s="5">
        <v>0.538888888888888</v>
      </c>
      <c r="N94" s="6">
        <v>1.77897088990037e+18</v>
      </c>
      <c r="O94" s="6">
        <v>1.77897065830528e+18</v>
      </c>
      <c r="P94" s="5">
        <v>216.988215746</v>
      </c>
      <c r="Q94" s="5">
        <v>0.25</v>
      </c>
      <c r="R94" s="5">
        <v>6</v>
      </c>
      <c r="S94" s="5" t="s">
        <v>145</v>
      </c>
      <c r="T94" s="5" t="s">
        <v>146</v>
      </c>
      <c r="U94" s="5" t="b">
        <v>0</v>
      </c>
      <c r="V94" s="5">
        <v>25</v>
      </c>
      <c r="W94" s="5">
        <v>0</v>
      </c>
      <c r="X94" s="5">
        <v>10</v>
      </c>
      <c r="Y94" s="5">
        <v>8</v>
      </c>
      <c r="Z94" s="5" t="b">
        <v>0</v>
      </c>
      <c r="AA94" s="5">
        <v>4</v>
      </c>
      <c r="AB94" s="5" t="b">
        <v>0</v>
      </c>
      <c r="AC94" s="5" t="b">
        <v>0</v>
      </c>
      <c r="AD94" s="5" t="s">
        <v>147</v>
      </c>
      <c r="AE94" s="5" t="s">
        <v>1014</v>
      </c>
      <c r="AF94" s="5">
        <v>1</v>
      </c>
      <c r="AG94" s="5" t="b">
        <v>0</v>
      </c>
      <c r="AH94" s="5" t="b">
        <v>0</v>
      </c>
      <c r="AI94" s="5" t="s">
        <v>149</v>
      </c>
      <c r="AJ94" s="5">
        <v>3</v>
      </c>
      <c r="AK94" s="5" t="b">
        <v>0</v>
      </c>
      <c r="AL94" s="5">
        <v>2</v>
      </c>
      <c r="AM94" s="5">
        <v>0</v>
      </c>
      <c r="AN94" s="5">
        <v>0</v>
      </c>
      <c r="AO94" s="5" t="b">
        <v>0</v>
      </c>
      <c r="AP94" s="5">
        <v>0.001</v>
      </c>
      <c r="AQ94" s="5">
        <v>256</v>
      </c>
      <c r="AR94" s="5" t="b">
        <v>1</v>
      </c>
      <c r="AS94" s="5">
        <v>1</v>
      </c>
      <c r="AT94" s="5">
        <v>3</v>
      </c>
      <c r="AU94" s="5">
        <v>0.1</v>
      </c>
      <c r="AV94" s="5">
        <v>0.1</v>
      </c>
      <c r="AW94" s="5" t="b">
        <v>0</v>
      </c>
      <c r="AX94" s="5">
        <v>32</v>
      </c>
      <c r="AY94" s="5">
        <v>7</v>
      </c>
      <c r="AZ94" s="5">
        <v>1</v>
      </c>
      <c r="BA94" s="5">
        <v>16</v>
      </c>
      <c r="BB94" s="5" t="s">
        <v>200</v>
      </c>
      <c r="BC94" s="5" t="s">
        <v>151</v>
      </c>
      <c r="BD94" s="5">
        <v>10</v>
      </c>
      <c r="BE94" s="5" t="b">
        <v>0</v>
      </c>
      <c r="BF94" s="5" t="s">
        <v>152</v>
      </c>
      <c r="BG94" s="5" t="s">
        <v>1015</v>
      </c>
      <c r="BH94" s="5">
        <v>0</v>
      </c>
      <c r="BI94" s="5" t="s">
        <v>154</v>
      </c>
      <c r="BJ94" s="5">
        <v>2</v>
      </c>
      <c r="BK94" s="5"/>
      <c r="BL94" s="5" t="b">
        <v>0</v>
      </c>
      <c r="BM94" s="5">
        <v>0</v>
      </c>
      <c r="BN94" s="5">
        <v>0</v>
      </c>
      <c r="BO94" s="5" t="s">
        <v>155</v>
      </c>
      <c r="BP94" s="5">
        <v>128</v>
      </c>
      <c r="BQ94" s="5" t="s">
        <v>156</v>
      </c>
      <c r="BR94" s="5">
        <v>2</v>
      </c>
      <c r="BS94" s="5" t="s">
        <v>157</v>
      </c>
      <c r="BT94" s="5">
        <v>0</v>
      </c>
      <c r="BU94" s="5">
        <v>96</v>
      </c>
      <c r="BV94" s="5" t="b">
        <v>0</v>
      </c>
      <c r="BW94" s="5">
        <v>1000</v>
      </c>
      <c r="BX94" s="5">
        <v>0.3</v>
      </c>
      <c r="BY94" s="5" t="b">
        <v>0</v>
      </c>
      <c r="BZ94" s="5" t="s">
        <v>1016</v>
      </c>
      <c r="CA94" s="5" t="s">
        <v>15</v>
      </c>
      <c r="CB94" s="5" t="s">
        <v>1017</v>
      </c>
      <c r="CC94" s="5" t="s">
        <v>160</v>
      </c>
      <c r="CD94" s="5">
        <v>1152</v>
      </c>
      <c r="CE94" s="5">
        <v>32</v>
      </c>
      <c r="CF94" s="5" t="b">
        <v>0</v>
      </c>
      <c r="CG94" s="5" t="s">
        <v>161</v>
      </c>
      <c r="CH94" s="5">
        <v>48</v>
      </c>
      <c r="CI94" s="5">
        <v>1</v>
      </c>
      <c r="CJ94" s="5">
        <v>0.25</v>
      </c>
      <c r="CK94" s="5">
        <v>7</v>
      </c>
      <c r="CL94" s="5" t="s">
        <v>1018</v>
      </c>
      <c r="CM94" s="5">
        <v>7</v>
      </c>
      <c r="CN94" s="5" t="s">
        <v>163</v>
      </c>
      <c r="CO94" s="5">
        <v>0</v>
      </c>
      <c r="CP94" s="5" t="s">
        <v>205</v>
      </c>
      <c r="CQ94" s="5" t="s">
        <v>164</v>
      </c>
      <c r="CR94" s="5" t="s">
        <v>1015</v>
      </c>
      <c r="CS94" s="5">
        <v>7</v>
      </c>
      <c r="CT94" s="5" t="b">
        <v>0</v>
      </c>
      <c r="CU94" s="5" t="s">
        <v>165</v>
      </c>
      <c r="CV94" s="5" t="b">
        <v>1</v>
      </c>
      <c r="CW94" s="5" t="b">
        <v>0</v>
      </c>
      <c r="CX94" s="5">
        <v>1</v>
      </c>
      <c r="CY94" s="5">
        <v>2</v>
      </c>
      <c r="CZ94" s="5" t="b">
        <v>0</v>
      </c>
      <c r="DA94" s="5" t="b">
        <v>0</v>
      </c>
      <c r="DB94" s="5" t="b">
        <v>0</v>
      </c>
      <c r="DC94" s="5" t="s">
        <v>166</v>
      </c>
      <c r="DD94" s="5" t="s">
        <v>167</v>
      </c>
      <c r="DE94" s="5" t="s">
        <v>168</v>
      </c>
      <c r="DF94" s="5">
        <v>0.5</v>
      </c>
      <c r="DG94" s="5">
        <v>10</v>
      </c>
      <c r="DH94" s="5">
        <v>0.3</v>
      </c>
      <c r="DI94" s="5">
        <v>1</v>
      </c>
      <c r="DJ94" s="5">
        <v>1</v>
      </c>
      <c r="DK94" s="5" t="s">
        <v>169</v>
      </c>
      <c r="DL94" s="5" t="b">
        <v>0</v>
      </c>
      <c r="DM94" s="5">
        <v>32</v>
      </c>
      <c r="DN94" s="5">
        <v>1</v>
      </c>
      <c r="DO94" s="5" t="s">
        <v>170</v>
      </c>
      <c r="DP94" s="5" t="s">
        <v>1017</v>
      </c>
      <c r="DQ94" s="5" t="s">
        <v>171</v>
      </c>
      <c r="DR94" s="5" t="s">
        <v>172</v>
      </c>
      <c r="DS94" s="7" t="str">
        <f>_xlfn.XLOOKUP(CP94,datasetmap!B:B,datasetmap!A:A)</f>
        <v>SRS2</v>
      </c>
      <c r="DT94" s="8">
        <f t="shared" si="1"/>
        <v>10.994729984</v>
      </c>
    </row>
    <row r="95" ht="17.6" spans="1:124">
      <c r="A95" s="5" t="s">
        <v>1019</v>
      </c>
      <c r="B95" s="5">
        <v>32</v>
      </c>
      <c r="C95" s="5" t="s">
        <v>141</v>
      </c>
      <c r="D95" s="5" t="s">
        <v>1020</v>
      </c>
      <c r="E95" s="5" t="s">
        <v>1021</v>
      </c>
      <c r="F95" s="5" t="s">
        <v>1022</v>
      </c>
      <c r="G95" s="6">
        <v>1.77897065189359e+18</v>
      </c>
      <c r="H95" s="5">
        <v>0.986689859694701</v>
      </c>
      <c r="I95" s="5">
        <v>0.986467424015355</v>
      </c>
      <c r="J95" s="5">
        <v>1.994850543</v>
      </c>
      <c r="K95" s="5">
        <v>0.986689859694701</v>
      </c>
      <c r="L95" s="6">
        <v>1.77897065189354e+18</v>
      </c>
      <c r="M95" s="5">
        <v>0.986486486486486</v>
      </c>
      <c r="N95" s="6">
        <v>1.77897065464653e+18</v>
      </c>
      <c r="O95" s="6">
        <v>1.77897019678466e+18</v>
      </c>
      <c r="P95" s="5">
        <v>452.315309224</v>
      </c>
      <c r="Q95" s="5">
        <v>0.25</v>
      </c>
      <c r="R95" s="5">
        <v>6</v>
      </c>
      <c r="S95" s="5" t="s">
        <v>145</v>
      </c>
      <c r="T95" s="5" t="s">
        <v>146</v>
      </c>
      <c r="U95" s="5" t="b">
        <v>0</v>
      </c>
      <c r="V95" s="5">
        <v>25</v>
      </c>
      <c r="W95" s="5">
        <v>0</v>
      </c>
      <c r="X95" s="5">
        <v>10</v>
      </c>
      <c r="Y95" s="5">
        <v>8</v>
      </c>
      <c r="Z95" s="5" t="b">
        <v>0</v>
      </c>
      <c r="AA95" s="5">
        <v>4</v>
      </c>
      <c r="AB95" s="5" t="b">
        <v>0</v>
      </c>
      <c r="AC95" s="5" t="b">
        <v>0</v>
      </c>
      <c r="AD95" s="5" t="s">
        <v>147</v>
      </c>
      <c r="AE95" s="5" t="s">
        <v>1023</v>
      </c>
      <c r="AF95" s="5">
        <v>1</v>
      </c>
      <c r="AG95" s="5" t="b">
        <v>0</v>
      </c>
      <c r="AH95" s="5" t="b">
        <v>0</v>
      </c>
      <c r="AI95" s="5" t="s">
        <v>149</v>
      </c>
      <c r="AJ95" s="5">
        <v>3</v>
      </c>
      <c r="AK95" s="5" t="b">
        <v>0</v>
      </c>
      <c r="AL95" s="5">
        <v>9</v>
      </c>
      <c r="AM95" s="5">
        <v>0</v>
      </c>
      <c r="AN95" s="5">
        <v>0</v>
      </c>
      <c r="AO95" s="5" t="b">
        <v>0</v>
      </c>
      <c r="AP95" s="5">
        <v>0.001</v>
      </c>
      <c r="AQ95" s="5">
        <v>256</v>
      </c>
      <c r="AR95" s="5" t="b">
        <v>1</v>
      </c>
      <c r="AS95" s="5">
        <v>1</v>
      </c>
      <c r="AT95" s="5">
        <v>3</v>
      </c>
      <c r="AU95" s="5">
        <v>0.1</v>
      </c>
      <c r="AV95" s="5">
        <v>0.1</v>
      </c>
      <c r="AW95" s="5" t="b">
        <v>0</v>
      </c>
      <c r="AX95" s="5">
        <v>32</v>
      </c>
      <c r="AY95" s="5">
        <v>7</v>
      </c>
      <c r="AZ95" s="5">
        <v>1</v>
      </c>
      <c r="BA95" s="5">
        <v>16</v>
      </c>
      <c r="BB95" s="5" t="s">
        <v>222</v>
      </c>
      <c r="BC95" s="5" t="s">
        <v>151</v>
      </c>
      <c r="BD95" s="5">
        <v>10</v>
      </c>
      <c r="BE95" s="5" t="b">
        <v>0</v>
      </c>
      <c r="BF95" s="5" t="s">
        <v>152</v>
      </c>
      <c r="BG95" s="5" t="s">
        <v>1024</v>
      </c>
      <c r="BH95" s="5">
        <v>0</v>
      </c>
      <c r="BI95" s="5" t="s">
        <v>154</v>
      </c>
      <c r="BJ95" s="5">
        <v>2</v>
      </c>
      <c r="BK95" s="5"/>
      <c r="BL95" s="5" t="b">
        <v>0</v>
      </c>
      <c r="BM95" s="5">
        <v>0</v>
      </c>
      <c r="BN95" s="5">
        <v>0</v>
      </c>
      <c r="BO95" s="5" t="s">
        <v>155</v>
      </c>
      <c r="BP95" s="5">
        <v>128</v>
      </c>
      <c r="BQ95" s="5" t="s">
        <v>156</v>
      </c>
      <c r="BR95" s="5">
        <v>2</v>
      </c>
      <c r="BS95" s="5" t="s">
        <v>157</v>
      </c>
      <c r="BT95" s="5">
        <v>0</v>
      </c>
      <c r="BU95" s="5">
        <v>96</v>
      </c>
      <c r="BV95" s="5" t="b">
        <v>0</v>
      </c>
      <c r="BW95" s="5">
        <v>1000</v>
      </c>
      <c r="BX95" s="5">
        <v>0.3</v>
      </c>
      <c r="BY95" s="5" t="b">
        <v>0</v>
      </c>
      <c r="BZ95" s="5" t="s">
        <v>1025</v>
      </c>
      <c r="CA95" s="5" t="s">
        <v>15</v>
      </c>
      <c r="CB95" s="5" t="s">
        <v>1026</v>
      </c>
      <c r="CC95" s="5" t="s">
        <v>160</v>
      </c>
      <c r="CD95" s="5">
        <v>29</v>
      </c>
      <c r="CE95" s="5">
        <v>32</v>
      </c>
      <c r="CF95" s="5" t="b">
        <v>0</v>
      </c>
      <c r="CG95" s="5" t="s">
        <v>161</v>
      </c>
      <c r="CH95" s="5">
        <v>48</v>
      </c>
      <c r="CI95" s="5">
        <v>1</v>
      </c>
      <c r="CJ95" s="5">
        <v>0.25</v>
      </c>
      <c r="CK95" s="5">
        <v>7</v>
      </c>
      <c r="CL95" s="5" t="s">
        <v>1027</v>
      </c>
      <c r="CM95" s="5">
        <v>7</v>
      </c>
      <c r="CN95" s="5" t="s">
        <v>163</v>
      </c>
      <c r="CO95" s="5">
        <v>0</v>
      </c>
      <c r="CP95" s="5" t="s">
        <v>227</v>
      </c>
      <c r="CQ95" s="5" t="s">
        <v>164</v>
      </c>
      <c r="CR95" s="5" t="s">
        <v>1024</v>
      </c>
      <c r="CS95" s="5">
        <v>12</v>
      </c>
      <c r="CT95" s="5" t="b">
        <v>0</v>
      </c>
      <c r="CU95" s="5" t="s">
        <v>165</v>
      </c>
      <c r="CV95" s="5" t="b">
        <v>1</v>
      </c>
      <c r="CW95" s="5" t="b">
        <v>0</v>
      </c>
      <c r="CX95" s="5">
        <v>1</v>
      </c>
      <c r="CY95" s="5">
        <v>2</v>
      </c>
      <c r="CZ95" s="5" t="b">
        <v>0</v>
      </c>
      <c r="DA95" s="5" t="b">
        <v>0</v>
      </c>
      <c r="DB95" s="5" t="b">
        <v>0</v>
      </c>
      <c r="DC95" s="5" t="s">
        <v>166</v>
      </c>
      <c r="DD95" s="5" t="s">
        <v>167</v>
      </c>
      <c r="DE95" s="5" t="s">
        <v>168</v>
      </c>
      <c r="DF95" s="5">
        <v>0.5</v>
      </c>
      <c r="DG95" s="5">
        <v>10</v>
      </c>
      <c r="DH95" s="5">
        <v>0.3</v>
      </c>
      <c r="DI95" s="5">
        <v>1</v>
      </c>
      <c r="DJ95" s="5">
        <v>1</v>
      </c>
      <c r="DK95" s="5" t="s">
        <v>169</v>
      </c>
      <c r="DL95" s="5" t="b">
        <v>0</v>
      </c>
      <c r="DM95" s="5">
        <v>32</v>
      </c>
      <c r="DN95" s="5">
        <v>1</v>
      </c>
      <c r="DO95" s="5" t="s">
        <v>170</v>
      </c>
      <c r="DP95" s="5" t="s">
        <v>1026</v>
      </c>
      <c r="DQ95" s="5" t="s">
        <v>171</v>
      </c>
      <c r="DR95" s="5" t="s">
        <v>172</v>
      </c>
      <c r="DS95" s="7" t="str">
        <f>_xlfn.XLOOKUP(CP95,datasetmap!B:B,datasetmap!A:A)</f>
        <v>JV</v>
      </c>
      <c r="DT95" s="8">
        <f t="shared" si="1"/>
        <v>2.752940032</v>
      </c>
    </row>
    <row r="96" ht="17.6" spans="1:124">
      <c r="A96" s="5" t="s">
        <v>1028</v>
      </c>
      <c r="B96" s="5">
        <v>32</v>
      </c>
      <c r="C96" s="5" t="s">
        <v>141</v>
      </c>
      <c r="D96" s="5" t="s">
        <v>1029</v>
      </c>
      <c r="E96" s="5" t="s">
        <v>1030</v>
      </c>
      <c r="F96" s="5" t="s">
        <v>1031</v>
      </c>
      <c r="G96" s="6">
        <v>1.77897060469952e+18</v>
      </c>
      <c r="H96" s="5">
        <v>0.897680275277224</v>
      </c>
      <c r="I96" s="5">
        <v>0.897603764762761</v>
      </c>
      <c r="J96" s="5">
        <v>7.45544581</v>
      </c>
      <c r="K96" s="5">
        <v>0.897680275277224</v>
      </c>
      <c r="L96" s="6">
        <v>1.77897060469948e+18</v>
      </c>
      <c r="M96" s="5">
        <v>0.897610921501706</v>
      </c>
      <c r="N96" s="6">
        <v>1.77897061668195e+18</v>
      </c>
      <c r="O96" s="6">
        <v>1.77897022238495e+18</v>
      </c>
      <c r="P96" s="5">
        <v>379.412639754</v>
      </c>
      <c r="Q96" s="5">
        <v>0.25</v>
      </c>
      <c r="R96" s="5">
        <v>6</v>
      </c>
      <c r="S96" s="5" t="s">
        <v>145</v>
      </c>
      <c r="T96" s="5" t="s">
        <v>146</v>
      </c>
      <c r="U96" s="5" t="b">
        <v>0</v>
      </c>
      <c r="V96" s="5">
        <v>25</v>
      </c>
      <c r="W96" s="5">
        <v>0</v>
      </c>
      <c r="X96" s="5">
        <v>10</v>
      </c>
      <c r="Y96" s="5">
        <v>8</v>
      </c>
      <c r="Z96" s="5" t="b">
        <v>0</v>
      </c>
      <c r="AA96" s="5">
        <v>4</v>
      </c>
      <c r="AB96" s="5" t="b">
        <v>0</v>
      </c>
      <c r="AC96" s="5" t="b">
        <v>0</v>
      </c>
      <c r="AD96" s="5" t="s">
        <v>147</v>
      </c>
      <c r="AE96" s="5" t="s">
        <v>1032</v>
      </c>
      <c r="AF96" s="5">
        <v>1</v>
      </c>
      <c r="AG96" s="5" t="b">
        <v>0</v>
      </c>
      <c r="AH96" s="5" t="b">
        <v>0</v>
      </c>
      <c r="AI96" s="5" t="s">
        <v>149</v>
      </c>
      <c r="AJ96" s="5">
        <v>3</v>
      </c>
      <c r="AK96" s="5" t="b">
        <v>0</v>
      </c>
      <c r="AL96" s="5">
        <v>2</v>
      </c>
      <c r="AM96" s="5">
        <v>0</v>
      </c>
      <c r="AN96" s="5">
        <v>0</v>
      </c>
      <c r="AO96" s="5" t="b">
        <v>0</v>
      </c>
      <c r="AP96" s="5">
        <v>0.001</v>
      </c>
      <c r="AQ96" s="5">
        <v>256</v>
      </c>
      <c r="AR96" s="5" t="b">
        <v>1</v>
      </c>
      <c r="AS96" s="5">
        <v>1</v>
      </c>
      <c r="AT96" s="5">
        <v>3</v>
      </c>
      <c r="AU96" s="5">
        <v>0.1</v>
      </c>
      <c r="AV96" s="5">
        <v>0.1</v>
      </c>
      <c r="AW96" s="5" t="b">
        <v>0</v>
      </c>
      <c r="AX96" s="5">
        <v>32</v>
      </c>
      <c r="AY96" s="5">
        <v>7</v>
      </c>
      <c r="AZ96" s="5">
        <v>1</v>
      </c>
      <c r="BA96" s="5">
        <v>16</v>
      </c>
      <c r="BB96" s="5" t="s">
        <v>211</v>
      </c>
      <c r="BC96" s="5" t="s">
        <v>151</v>
      </c>
      <c r="BD96" s="5">
        <v>10</v>
      </c>
      <c r="BE96" s="5" t="b">
        <v>0</v>
      </c>
      <c r="BF96" s="5" t="s">
        <v>152</v>
      </c>
      <c r="BG96" s="5" t="s">
        <v>1033</v>
      </c>
      <c r="BH96" s="5">
        <v>0</v>
      </c>
      <c r="BI96" s="5" t="s">
        <v>154</v>
      </c>
      <c r="BJ96" s="5">
        <v>2</v>
      </c>
      <c r="BK96" s="5"/>
      <c r="BL96" s="5" t="b">
        <v>0</v>
      </c>
      <c r="BM96" s="5">
        <v>0</v>
      </c>
      <c r="BN96" s="5">
        <v>0</v>
      </c>
      <c r="BO96" s="5" t="s">
        <v>155</v>
      </c>
      <c r="BP96" s="5">
        <v>128</v>
      </c>
      <c r="BQ96" s="5" t="s">
        <v>156</v>
      </c>
      <c r="BR96" s="5">
        <v>2</v>
      </c>
      <c r="BS96" s="5" t="s">
        <v>157</v>
      </c>
      <c r="BT96" s="5">
        <v>0</v>
      </c>
      <c r="BU96" s="5">
        <v>96</v>
      </c>
      <c r="BV96" s="5" t="b">
        <v>0</v>
      </c>
      <c r="BW96" s="5">
        <v>1000</v>
      </c>
      <c r="BX96" s="5">
        <v>0.3</v>
      </c>
      <c r="BY96" s="5" t="b">
        <v>0</v>
      </c>
      <c r="BZ96" s="5" t="s">
        <v>1034</v>
      </c>
      <c r="CA96" s="5" t="s">
        <v>15</v>
      </c>
      <c r="CB96" s="5" t="s">
        <v>1035</v>
      </c>
      <c r="CC96" s="5" t="s">
        <v>160</v>
      </c>
      <c r="CD96" s="5">
        <v>896</v>
      </c>
      <c r="CE96" s="5">
        <v>32</v>
      </c>
      <c r="CF96" s="5" t="b">
        <v>0</v>
      </c>
      <c r="CG96" s="5" t="s">
        <v>161</v>
      </c>
      <c r="CH96" s="5">
        <v>48</v>
      </c>
      <c r="CI96" s="5">
        <v>1</v>
      </c>
      <c r="CJ96" s="5">
        <v>0.25</v>
      </c>
      <c r="CK96" s="5">
        <v>7</v>
      </c>
      <c r="CL96" s="5" t="s">
        <v>1036</v>
      </c>
      <c r="CM96" s="5">
        <v>7</v>
      </c>
      <c r="CN96" s="5" t="s">
        <v>163</v>
      </c>
      <c r="CO96" s="5">
        <v>0</v>
      </c>
      <c r="CP96" s="5" t="s">
        <v>216</v>
      </c>
      <c r="CQ96" s="5" t="s">
        <v>164</v>
      </c>
      <c r="CR96" s="5" t="s">
        <v>1033</v>
      </c>
      <c r="CS96" s="5">
        <v>6</v>
      </c>
      <c r="CT96" s="5" t="b">
        <v>0</v>
      </c>
      <c r="CU96" s="5" t="s">
        <v>165</v>
      </c>
      <c r="CV96" s="5" t="b">
        <v>1</v>
      </c>
      <c r="CW96" s="5" t="b">
        <v>0</v>
      </c>
      <c r="CX96" s="5">
        <v>1</v>
      </c>
      <c r="CY96" s="5">
        <v>2</v>
      </c>
      <c r="CZ96" s="5" t="b">
        <v>0</v>
      </c>
      <c r="DA96" s="5" t="b">
        <v>0</v>
      </c>
      <c r="DB96" s="5" t="b">
        <v>0</v>
      </c>
      <c r="DC96" s="5" t="s">
        <v>166</v>
      </c>
      <c r="DD96" s="5" t="s">
        <v>167</v>
      </c>
      <c r="DE96" s="5" t="s">
        <v>168</v>
      </c>
      <c r="DF96" s="5">
        <v>0.5</v>
      </c>
      <c r="DG96" s="5">
        <v>10</v>
      </c>
      <c r="DH96" s="5">
        <v>0.3</v>
      </c>
      <c r="DI96" s="5">
        <v>1</v>
      </c>
      <c r="DJ96" s="5">
        <v>1</v>
      </c>
      <c r="DK96" s="5" t="s">
        <v>169</v>
      </c>
      <c r="DL96" s="5" t="b">
        <v>0</v>
      </c>
      <c r="DM96" s="5">
        <v>32</v>
      </c>
      <c r="DN96" s="5">
        <v>1</v>
      </c>
      <c r="DO96" s="5" t="s">
        <v>170</v>
      </c>
      <c r="DP96" s="5" t="s">
        <v>1035</v>
      </c>
      <c r="DQ96" s="5" t="s">
        <v>171</v>
      </c>
      <c r="DR96" s="5" t="s">
        <v>172</v>
      </c>
      <c r="DS96" s="7" t="str">
        <f>_xlfn.XLOOKUP(CP96,datasetmap!B:B,datasetmap!A:A)</f>
        <v>SRS1</v>
      </c>
      <c r="DT96" s="8">
        <f t="shared" si="1"/>
        <v>11.982429952</v>
      </c>
    </row>
    <row r="97" ht="17.6" spans="1:124">
      <c r="A97" s="5" t="s">
        <v>1037</v>
      </c>
      <c r="B97" s="5">
        <v>32</v>
      </c>
      <c r="C97" s="5" t="s">
        <v>141</v>
      </c>
      <c r="D97" s="5" t="s">
        <v>1038</v>
      </c>
      <c r="E97" s="5" t="s">
        <v>1039</v>
      </c>
      <c r="F97" s="5" t="s">
        <v>1040</v>
      </c>
      <c r="G97" s="6">
        <v>1.77897000045161e+18</v>
      </c>
      <c r="H97" s="5">
        <v>0.659481386514197</v>
      </c>
      <c r="I97" s="5">
        <v>0.658168503544003</v>
      </c>
      <c r="J97" s="5">
        <v>18.627195507</v>
      </c>
      <c r="K97" s="5">
        <v>0.659481386514197</v>
      </c>
      <c r="L97" s="6">
        <v>1.77897000045155e+18</v>
      </c>
      <c r="M97" s="5">
        <v>0.658626560726447</v>
      </c>
      <c r="N97" s="6">
        <v>1.77897019517555e+18</v>
      </c>
      <c r="O97" s="6">
        <v>1.77896792930147e+18</v>
      </c>
      <c r="P97" s="5">
        <v>1699.074874851</v>
      </c>
      <c r="Q97" s="5">
        <v>0.25</v>
      </c>
      <c r="R97" s="5">
        <v>6</v>
      </c>
      <c r="S97" s="5" t="s">
        <v>145</v>
      </c>
      <c r="T97" s="5" t="s">
        <v>146</v>
      </c>
      <c r="U97" s="5" t="b">
        <v>0</v>
      </c>
      <c r="V97" s="5">
        <v>25</v>
      </c>
      <c r="W97" s="5">
        <v>0</v>
      </c>
      <c r="X97" s="5">
        <v>10</v>
      </c>
      <c r="Y97" s="5">
        <v>8</v>
      </c>
      <c r="Z97" s="5" t="b">
        <v>0</v>
      </c>
      <c r="AA97" s="5">
        <v>4</v>
      </c>
      <c r="AB97" s="5" t="b">
        <v>0</v>
      </c>
      <c r="AC97" s="5" t="b">
        <v>0</v>
      </c>
      <c r="AD97" s="5" t="s">
        <v>147</v>
      </c>
      <c r="AE97" s="5" t="s">
        <v>1041</v>
      </c>
      <c r="AF97" s="5">
        <v>1</v>
      </c>
      <c r="AG97" s="5" t="b">
        <v>0</v>
      </c>
      <c r="AH97" s="5" t="b">
        <v>0</v>
      </c>
      <c r="AI97" s="5" t="s">
        <v>149</v>
      </c>
      <c r="AJ97" s="5">
        <v>3</v>
      </c>
      <c r="AK97" s="5" t="b">
        <v>0</v>
      </c>
      <c r="AL97" s="5">
        <v>2</v>
      </c>
      <c r="AM97" s="5">
        <v>0</v>
      </c>
      <c r="AN97" s="5">
        <v>0</v>
      </c>
      <c r="AO97" s="5" t="b">
        <v>0</v>
      </c>
      <c r="AP97" s="5">
        <v>0.001</v>
      </c>
      <c r="AQ97" s="5">
        <v>256</v>
      </c>
      <c r="AR97" s="5" t="b">
        <v>1</v>
      </c>
      <c r="AS97" s="5">
        <v>1</v>
      </c>
      <c r="AT97" s="5">
        <v>3</v>
      </c>
      <c r="AU97" s="5">
        <v>0.1</v>
      </c>
      <c r="AV97" s="5">
        <v>0.1</v>
      </c>
      <c r="AW97" s="5" t="b">
        <v>0</v>
      </c>
      <c r="AX97" s="5">
        <v>32</v>
      </c>
      <c r="AY97" s="5">
        <v>7</v>
      </c>
      <c r="AZ97" s="5">
        <v>1</v>
      </c>
      <c r="BA97" s="5">
        <v>16</v>
      </c>
      <c r="BB97" s="5" t="s">
        <v>189</v>
      </c>
      <c r="BC97" s="5" t="s">
        <v>151</v>
      </c>
      <c r="BD97" s="5">
        <v>10</v>
      </c>
      <c r="BE97" s="5" t="b">
        <v>0</v>
      </c>
      <c r="BF97" s="5" t="s">
        <v>152</v>
      </c>
      <c r="BG97" s="5" t="s">
        <v>1042</v>
      </c>
      <c r="BH97" s="5">
        <v>0</v>
      </c>
      <c r="BI97" s="5" t="s">
        <v>154</v>
      </c>
      <c r="BJ97" s="5">
        <v>2</v>
      </c>
      <c r="BK97" s="5"/>
      <c r="BL97" s="5" t="b">
        <v>0</v>
      </c>
      <c r="BM97" s="5">
        <v>0</v>
      </c>
      <c r="BN97" s="5">
        <v>0</v>
      </c>
      <c r="BO97" s="5" t="s">
        <v>155</v>
      </c>
      <c r="BP97" s="5">
        <v>128</v>
      </c>
      <c r="BQ97" s="5" t="s">
        <v>156</v>
      </c>
      <c r="BR97" s="5">
        <v>2</v>
      </c>
      <c r="BS97" s="5" t="s">
        <v>157</v>
      </c>
      <c r="BT97" s="5">
        <v>0</v>
      </c>
      <c r="BU97" s="5">
        <v>96</v>
      </c>
      <c r="BV97" s="5" t="b">
        <v>0</v>
      </c>
      <c r="BW97" s="5">
        <v>1000</v>
      </c>
      <c r="BX97" s="5">
        <v>0.3</v>
      </c>
      <c r="BY97" s="5" t="b">
        <v>0</v>
      </c>
      <c r="BZ97" s="5" t="s">
        <v>1043</v>
      </c>
      <c r="CA97" s="5" t="s">
        <v>15</v>
      </c>
      <c r="CB97" s="5" t="s">
        <v>1044</v>
      </c>
      <c r="CC97" s="5" t="s">
        <v>160</v>
      </c>
      <c r="CD97" s="5">
        <v>62</v>
      </c>
      <c r="CE97" s="5">
        <v>32</v>
      </c>
      <c r="CF97" s="5" t="b">
        <v>0</v>
      </c>
      <c r="CG97" s="5" t="s">
        <v>161</v>
      </c>
      <c r="CH97" s="5">
        <v>48</v>
      </c>
      <c r="CI97" s="5">
        <v>1</v>
      </c>
      <c r="CJ97" s="5">
        <v>0.25</v>
      </c>
      <c r="CK97" s="5">
        <v>7</v>
      </c>
      <c r="CL97" s="5" t="s">
        <v>1045</v>
      </c>
      <c r="CM97" s="5">
        <v>7</v>
      </c>
      <c r="CN97" s="5" t="s">
        <v>163</v>
      </c>
      <c r="CO97" s="5">
        <v>0</v>
      </c>
      <c r="CP97" s="5" t="s">
        <v>194</v>
      </c>
      <c r="CQ97" s="5" t="s">
        <v>164</v>
      </c>
      <c r="CR97" s="5" t="s">
        <v>1042</v>
      </c>
      <c r="CS97" s="5">
        <v>144</v>
      </c>
      <c r="CT97" s="5" t="b">
        <v>0</v>
      </c>
      <c r="CU97" s="5" t="s">
        <v>165</v>
      </c>
      <c r="CV97" s="5" t="b">
        <v>1</v>
      </c>
      <c r="CW97" s="5" t="b">
        <v>0</v>
      </c>
      <c r="CX97" s="5">
        <v>1</v>
      </c>
      <c r="CY97" s="5">
        <v>2</v>
      </c>
      <c r="CZ97" s="5" t="b">
        <v>0</v>
      </c>
      <c r="DA97" s="5" t="b">
        <v>0</v>
      </c>
      <c r="DB97" s="5" t="b">
        <v>0</v>
      </c>
      <c r="DC97" s="5" t="s">
        <v>166</v>
      </c>
      <c r="DD97" s="5" t="s">
        <v>167</v>
      </c>
      <c r="DE97" s="5" t="s">
        <v>168</v>
      </c>
      <c r="DF97" s="5">
        <v>0.5</v>
      </c>
      <c r="DG97" s="5">
        <v>10</v>
      </c>
      <c r="DH97" s="5">
        <v>0.3</v>
      </c>
      <c r="DI97" s="5">
        <v>1</v>
      </c>
      <c r="DJ97" s="5">
        <v>1</v>
      </c>
      <c r="DK97" s="5" t="s">
        <v>169</v>
      </c>
      <c r="DL97" s="5" t="b">
        <v>0</v>
      </c>
      <c r="DM97" s="5">
        <v>32</v>
      </c>
      <c r="DN97" s="5">
        <v>1</v>
      </c>
      <c r="DO97" s="5" t="s">
        <v>170</v>
      </c>
      <c r="DP97" s="5" t="s">
        <v>1044</v>
      </c>
      <c r="DQ97" s="5" t="s">
        <v>171</v>
      </c>
      <c r="DR97" s="5" t="s">
        <v>172</v>
      </c>
      <c r="DS97" s="7" t="str">
        <f>_xlfn.XLOOKUP(CP97,datasetmap!B:B,datasetmap!A:A)</f>
        <v>FD</v>
      </c>
      <c r="DT97" s="8">
        <f t="shared" si="1"/>
        <v>194.72393984</v>
      </c>
    </row>
    <row r="98" ht="17.6" spans="1:124">
      <c r="A98" s="5" t="s">
        <v>1046</v>
      </c>
      <c r="B98" s="5">
        <v>32</v>
      </c>
      <c r="C98" s="5" t="s">
        <v>141</v>
      </c>
      <c r="D98" s="5" t="s">
        <v>1047</v>
      </c>
      <c r="E98" s="5" t="s">
        <v>1048</v>
      </c>
      <c r="F98" s="5" t="s">
        <v>1049</v>
      </c>
      <c r="G98" s="6">
        <v>1.77897016147668e+18</v>
      </c>
      <c r="H98" s="5">
        <v>0.759355208192966</v>
      </c>
      <c r="I98" s="5">
        <v>0.735527164795457</v>
      </c>
      <c r="J98" s="5">
        <v>2.697836614</v>
      </c>
      <c r="K98" s="5">
        <v>0.759355208192966</v>
      </c>
      <c r="L98" s="6">
        <v>1.77897016147663e+18</v>
      </c>
      <c r="M98" s="5">
        <v>0.770731707317073</v>
      </c>
      <c r="N98" s="6">
        <v>1.77897016711598e+18</v>
      </c>
      <c r="O98" s="6">
        <v>1.77897000418848e+18</v>
      </c>
      <c r="P98" s="5">
        <v>148.186270635</v>
      </c>
      <c r="Q98" s="5">
        <v>0.25</v>
      </c>
      <c r="R98" s="5">
        <v>6</v>
      </c>
      <c r="S98" s="5" t="s">
        <v>145</v>
      </c>
      <c r="T98" s="5" t="s">
        <v>146</v>
      </c>
      <c r="U98" s="5" t="b">
        <v>0</v>
      </c>
      <c r="V98" s="5">
        <v>25</v>
      </c>
      <c r="W98" s="5">
        <v>0</v>
      </c>
      <c r="X98" s="5">
        <v>10</v>
      </c>
      <c r="Y98" s="5">
        <v>8</v>
      </c>
      <c r="Z98" s="5" t="b">
        <v>0</v>
      </c>
      <c r="AA98" s="5">
        <v>4</v>
      </c>
      <c r="AB98" s="5" t="b">
        <v>0</v>
      </c>
      <c r="AC98" s="5" t="b">
        <v>0</v>
      </c>
      <c r="AD98" s="5" t="s">
        <v>147</v>
      </c>
      <c r="AE98" s="5" t="s">
        <v>1050</v>
      </c>
      <c r="AF98" s="5">
        <v>1</v>
      </c>
      <c r="AG98" s="5" t="b">
        <v>0</v>
      </c>
      <c r="AH98" s="5" t="b">
        <v>0</v>
      </c>
      <c r="AI98" s="5" t="s">
        <v>149</v>
      </c>
      <c r="AJ98" s="5">
        <v>3</v>
      </c>
      <c r="AK98" s="5" t="b">
        <v>0</v>
      </c>
      <c r="AL98" s="5">
        <v>2</v>
      </c>
      <c r="AM98" s="5">
        <v>0</v>
      </c>
      <c r="AN98" s="5">
        <v>0</v>
      </c>
      <c r="AO98" s="5" t="b">
        <v>0</v>
      </c>
      <c r="AP98" s="5">
        <v>0.001</v>
      </c>
      <c r="AQ98" s="5">
        <v>256</v>
      </c>
      <c r="AR98" s="5" t="b">
        <v>1</v>
      </c>
      <c r="AS98" s="5">
        <v>1</v>
      </c>
      <c r="AT98" s="5">
        <v>3</v>
      </c>
      <c r="AU98" s="5">
        <v>0.1</v>
      </c>
      <c r="AV98" s="5">
        <v>0.1</v>
      </c>
      <c r="AW98" s="5" t="b">
        <v>0</v>
      </c>
      <c r="AX98" s="5">
        <v>32</v>
      </c>
      <c r="AY98" s="5">
        <v>7</v>
      </c>
      <c r="AZ98" s="5">
        <v>1</v>
      </c>
      <c r="BA98" s="5">
        <v>16</v>
      </c>
      <c r="BB98" s="5" t="s">
        <v>233</v>
      </c>
      <c r="BC98" s="5" t="s">
        <v>151</v>
      </c>
      <c r="BD98" s="5">
        <v>10</v>
      </c>
      <c r="BE98" s="5" t="b">
        <v>0</v>
      </c>
      <c r="BF98" s="5" t="s">
        <v>152</v>
      </c>
      <c r="BG98" s="5" t="s">
        <v>1051</v>
      </c>
      <c r="BH98" s="5">
        <v>0</v>
      </c>
      <c r="BI98" s="5" t="s">
        <v>154</v>
      </c>
      <c r="BJ98" s="5">
        <v>2</v>
      </c>
      <c r="BK98" s="5"/>
      <c r="BL98" s="5" t="b">
        <v>0</v>
      </c>
      <c r="BM98" s="5">
        <v>0</v>
      </c>
      <c r="BN98" s="5">
        <v>0</v>
      </c>
      <c r="BO98" s="5" t="s">
        <v>155</v>
      </c>
      <c r="BP98" s="5">
        <v>128</v>
      </c>
      <c r="BQ98" s="5" t="s">
        <v>156</v>
      </c>
      <c r="BR98" s="5">
        <v>2</v>
      </c>
      <c r="BS98" s="5" t="s">
        <v>157</v>
      </c>
      <c r="BT98" s="5">
        <v>0</v>
      </c>
      <c r="BU98" s="5">
        <v>96</v>
      </c>
      <c r="BV98" s="5" t="b">
        <v>0</v>
      </c>
      <c r="BW98" s="5">
        <v>1000</v>
      </c>
      <c r="BX98" s="5">
        <v>0.3</v>
      </c>
      <c r="BY98" s="5" t="b">
        <v>0</v>
      </c>
      <c r="BZ98" s="5" t="s">
        <v>1052</v>
      </c>
      <c r="CA98" s="5" t="s">
        <v>15</v>
      </c>
      <c r="CB98" s="5" t="s">
        <v>1053</v>
      </c>
      <c r="CC98" s="5" t="s">
        <v>160</v>
      </c>
      <c r="CD98" s="5">
        <v>405</v>
      </c>
      <c r="CE98" s="5">
        <v>32</v>
      </c>
      <c r="CF98" s="5" t="b">
        <v>0</v>
      </c>
      <c r="CG98" s="5" t="s">
        <v>161</v>
      </c>
      <c r="CH98" s="5">
        <v>48</v>
      </c>
      <c r="CI98" s="5">
        <v>1</v>
      </c>
      <c r="CJ98" s="5">
        <v>0.25</v>
      </c>
      <c r="CK98" s="5">
        <v>7</v>
      </c>
      <c r="CL98" s="5" t="s">
        <v>1054</v>
      </c>
      <c r="CM98" s="5">
        <v>7</v>
      </c>
      <c r="CN98" s="5" t="s">
        <v>163</v>
      </c>
      <c r="CO98" s="5">
        <v>0</v>
      </c>
      <c r="CP98" s="5" t="s">
        <v>238</v>
      </c>
      <c r="CQ98" s="5" t="s">
        <v>164</v>
      </c>
      <c r="CR98" s="5" t="s">
        <v>1051</v>
      </c>
      <c r="CS98" s="5">
        <v>61</v>
      </c>
      <c r="CT98" s="5" t="b">
        <v>0</v>
      </c>
      <c r="CU98" s="5" t="s">
        <v>165</v>
      </c>
      <c r="CV98" s="5" t="b">
        <v>1</v>
      </c>
      <c r="CW98" s="5" t="b">
        <v>0</v>
      </c>
      <c r="CX98" s="5">
        <v>1</v>
      </c>
      <c r="CY98" s="5">
        <v>2</v>
      </c>
      <c r="CZ98" s="5" t="b">
        <v>0</v>
      </c>
      <c r="DA98" s="5" t="b">
        <v>0</v>
      </c>
      <c r="DB98" s="5" t="b">
        <v>0</v>
      </c>
      <c r="DC98" s="5" t="s">
        <v>166</v>
      </c>
      <c r="DD98" s="5" t="s">
        <v>167</v>
      </c>
      <c r="DE98" s="5" t="s">
        <v>168</v>
      </c>
      <c r="DF98" s="5">
        <v>0.5</v>
      </c>
      <c r="DG98" s="5">
        <v>10</v>
      </c>
      <c r="DH98" s="5">
        <v>0.3</v>
      </c>
      <c r="DI98" s="5">
        <v>1</v>
      </c>
      <c r="DJ98" s="5">
        <v>1</v>
      </c>
      <c r="DK98" s="5" t="s">
        <v>169</v>
      </c>
      <c r="DL98" s="5" t="b">
        <v>0</v>
      </c>
      <c r="DM98" s="5">
        <v>32</v>
      </c>
      <c r="DN98" s="5">
        <v>1</v>
      </c>
      <c r="DO98" s="5" t="s">
        <v>170</v>
      </c>
      <c r="DP98" s="5" t="s">
        <v>1053</v>
      </c>
      <c r="DQ98" s="5" t="s">
        <v>171</v>
      </c>
      <c r="DR98" s="5" t="s">
        <v>172</v>
      </c>
      <c r="DS98" s="7" t="str">
        <f>_xlfn.XLOOKUP(CP98,datasetmap!B:B,datasetmap!A:A)</f>
        <v>HB</v>
      </c>
      <c r="DT98" s="8">
        <f t="shared" si="1"/>
        <v>5.639300096</v>
      </c>
    </row>
    <row r="99" ht="17.6" spans="1:124">
      <c r="A99" s="5" t="s">
        <v>1055</v>
      </c>
      <c r="B99" s="5">
        <v>32</v>
      </c>
      <c r="C99" s="5" t="s">
        <v>141</v>
      </c>
      <c r="D99" s="5" t="s">
        <v>1056</v>
      </c>
      <c r="E99" s="5" t="s">
        <v>1057</v>
      </c>
      <c r="F99" s="5" t="s">
        <v>1058</v>
      </c>
      <c r="G99" s="6">
        <v>1.77896980660465e+18</v>
      </c>
      <c r="H99" s="5">
        <v>0.356136488218882</v>
      </c>
      <c r="I99" s="5">
        <v>0.308510896809608</v>
      </c>
      <c r="J99" s="5">
        <v>14.342893943</v>
      </c>
      <c r="K99" s="5">
        <v>0.356136488218882</v>
      </c>
      <c r="L99" s="6">
        <v>1.77896980660456e+18</v>
      </c>
      <c r="M99" s="5">
        <v>0.330588235294117</v>
      </c>
      <c r="N99" s="6">
        <v>1.77896982889344e+18</v>
      </c>
      <c r="O99" s="6">
        <v>1.77896803629118e+18</v>
      </c>
      <c r="P99" s="5">
        <v>1766.939957316</v>
      </c>
      <c r="Q99" s="5">
        <v>0.25</v>
      </c>
      <c r="R99" s="5">
        <v>6</v>
      </c>
      <c r="S99" s="5" t="s">
        <v>145</v>
      </c>
      <c r="T99" s="5" t="s">
        <v>146</v>
      </c>
      <c r="U99" s="5" t="b">
        <v>0</v>
      </c>
      <c r="V99" s="5">
        <v>25</v>
      </c>
      <c r="W99" s="5">
        <v>0</v>
      </c>
      <c r="X99" s="5">
        <v>10</v>
      </c>
      <c r="Y99" s="5">
        <v>8</v>
      </c>
      <c r="Z99" s="5" t="b">
        <v>0</v>
      </c>
      <c r="AA99" s="5">
        <v>4</v>
      </c>
      <c r="AB99" s="5" t="b">
        <v>0</v>
      </c>
      <c r="AC99" s="5" t="b">
        <v>0</v>
      </c>
      <c r="AD99" s="5" t="s">
        <v>147</v>
      </c>
      <c r="AE99" s="5" t="s">
        <v>1059</v>
      </c>
      <c r="AF99" s="5">
        <v>1</v>
      </c>
      <c r="AG99" s="5" t="b">
        <v>0</v>
      </c>
      <c r="AH99" s="5" t="b">
        <v>0</v>
      </c>
      <c r="AI99" s="5" t="s">
        <v>149</v>
      </c>
      <c r="AJ99" s="5">
        <v>3</v>
      </c>
      <c r="AK99" s="5" t="b">
        <v>0</v>
      </c>
      <c r="AL99" s="5">
        <v>26</v>
      </c>
      <c r="AM99" s="5">
        <v>0</v>
      </c>
      <c r="AN99" s="5">
        <v>0</v>
      </c>
      <c r="AO99" s="5" t="b">
        <v>0</v>
      </c>
      <c r="AP99" s="5">
        <v>0.001</v>
      </c>
      <c r="AQ99" s="5">
        <v>256</v>
      </c>
      <c r="AR99" s="5" t="b">
        <v>1</v>
      </c>
      <c r="AS99" s="5">
        <v>1</v>
      </c>
      <c r="AT99" s="5">
        <v>3</v>
      </c>
      <c r="AU99" s="5">
        <v>0.1</v>
      </c>
      <c r="AV99" s="5">
        <v>0.1</v>
      </c>
      <c r="AW99" s="5" t="b">
        <v>0</v>
      </c>
      <c r="AX99" s="5">
        <v>32</v>
      </c>
      <c r="AY99" s="5">
        <v>7</v>
      </c>
      <c r="AZ99" s="5">
        <v>1</v>
      </c>
      <c r="BA99" s="5">
        <v>16</v>
      </c>
      <c r="BB99" s="5" t="s">
        <v>244</v>
      </c>
      <c r="BC99" s="5" t="s">
        <v>151</v>
      </c>
      <c r="BD99" s="5">
        <v>10</v>
      </c>
      <c r="BE99" s="5" t="b">
        <v>0</v>
      </c>
      <c r="BF99" s="5" t="s">
        <v>152</v>
      </c>
      <c r="BG99" s="5" t="s">
        <v>1060</v>
      </c>
      <c r="BH99" s="5">
        <v>0</v>
      </c>
      <c r="BI99" s="5" t="s">
        <v>154</v>
      </c>
      <c r="BJ99" s="5">
        <v>2</v>
      </c>
      <c r="BK99" s="5"/>
      <c r="BL99" s="5" t="b">
        <v>0</v>
      </c>
      <c r="BM99" s="5">
        <v>0</v>
      </c>
      <c r="BN99" s="5">
        <v>0</v>
      </c>
      <c r="BO99" s="5" t="s">
        <v>155</v>
      </c>
      <c r="BP99" s="5">
        <v>128</v>
      </c>
      <c r="BQ99" s="5" t="s">
        <v>156</v>
      </c>
      <c r="BR99" s="5">
        <v>2</v>
      </c>
      <c r="BS99" s="5" t="s">
        <v>157</v>
      </c>
      <c r="BT99" s="5">
        <v>0</v>
      </c>
      <c r="BU99" s="5">
        <v>96</v>
      </c>
      <c r="BV99" s="5" t="b">
        <v>0</v>
      </c>
      <c r="BW99" s="5">
        <v>1000</v>
      </c>
      <c r="BX99" s="5">
        <v>0.3</v>
      </c>
      <c r="BY99" s="5" t="b">
        <v>0</v>
      </c>
      <c r="BZ99" s="5" t="s">
        <v>1061</v>
      </c>
      <c r="CA99" s="5" t="s">
        <v>15</v>
      </c>
      <c r="CB99" s="5" t="s">
        <v>1062</v>
      </c>
      <c r="CC99" s="5" t="s">
        <v>160</v>
      </c>
      <c r="CD99" s="5">
        <v>152</v>
      </c>
      <c r="CE99" s="5">
        <v>32</v>
      </c>
      <c r="CF99" s="5" t="b">
        <v>0</v>
      </c>
      <c r="CG99" s="5" t="s">
        <v>161</v>
      </c>
      <c r="CH99" s="5">
        <v>48</v>
      </c>
      <c r="CI99" s="5">
        <v>1</v>
      </c>
      <c r="CJ99" s="5">
        <v>0.25</v>
      </c>
      <c r="CK99" s="5">
        <v>7</v>
      </c>
      <c r="CL99" s="5" t="s">
        <v>1063</v>
      </c>
      <c r="CM99" s="5">
        <v>7</v>
      </c>
      <c r="CN99" s="5" t="s">
        <v>163</v>
      </c>
      <c r="CO99" s="5">
        <v>0</v>
      </c>
      <c r="CP99" s="5" t="s">
        <v>249</v>
      </c>
      <c r="CQ99" s="5" t="s">
        <v>164</v>
      </c>
      <c r="CR99" s="5" t="s">
        <v>1060</v>
      </c>
      <c r="CS99" s="5">
        <v>3</v>
      </c>
      <c r="CT99" s="5" t="b">
        <v>0</v>
      </c>
      <c r="CU99" s="5" t="s">
        <v>165</v>
      </c>
      <c r="CV99" s="5" t="b">
        <v>1</v>
      </c>
      <c r="CW99" s="5" t="b">
        <v>0</v>
      </c>
      <c r="CX99" s="5">
        <v>1</v>
      </c>
      <c r="CY99" s="5">
        <v>2</v>
      </c>
      <c r="CZ99" s="5" t="b">
        <v>0</v>
      </c>
      <c r="DA99" s="5" t="b">
        <v>0</v>
      </c>
      <c r="DB99" s="5" t="b">
        <v>0</v>
      </c>
      <c r="DC99" s="5" t="s">
        <v>166</v>
      </c>
      <c r="DD99" s="5" t="s">
        <v>167</v>
      </c>
      <c r="DE99" s="5" t="s">
        <v>168</v>
      </c>
      <c r="DF99" s="5">
        <v>0.5</v>
      </c>
      <c r="DG99" s="5">
        <v>10</v>
      </c>
      <c r="DH99" s="5">
        <v>0.3</v>
      </c>
      <c r="DI99" s="5">
        <v>1</v>
      </c>
      <c r="DJ99" s="5">
        <v>1</v>
      </c>
      <c r="DK99" s="5" t="s">
        <v>169</v>
      </c>
      <c r="DL99" s="5" t="b">
        <v>0</v>
      </c>
      <c r="DM99" s="5">
        <v>32</v>
      </c>
      <c r="DN99" s="5">
        <v>1</v>
      </c>
      <c r="DO99" s="5" t="s">
        <v>170</v>
      </c>
      <c r="DP99" s="5" t="s">
        <v>1062</v>
      </c>
      <c r="DQ99" s="5" t="s">
        <v>171</v>
      </c>
      <c r="DR99" s="5" t="s">
        <v>172</v>
      </c>
      <c r="DS99" s="7" t="str">
        <f>_xlfn.XLOOKUP(CP99,datasetmap!B:B,datasetmap!A:A)</f>
        <v>HW</v>
      </c>
      <c r="DT99" s="8">
        <f t="shared" si="1"/>
        <v>22.288790016</v>
      </c>
    </row>
    <row r="100" ht="17.6" spans="1:124">
      <c r="A100" s="5" t="s">
        <v>1064</v>
      </c>
      <c r="B100" s="5">
        <v>32</v>
      </c>
      <c r="C100" s="5" t="s">
        <v>141</v>
      </c>
      <c r="D100" s="5" t="s">
        <v>1065</v>
      </c>
      <c r="E100" s="5" t="s">
        <v>1066</v>
      </c>
      <c r="F100" s="5" t="s">
        <v>1067</v>
      </c>
      <c r="G100" s="6">
        <v>1.77896801323367e+18</v>
      </c>
      <c r="H100" s="5">
        <v>0.223996401719506</v>
      </c>
      <c r="I100" s="5">
        <v>0.242371862040619</v>
      </c>
      <c r="J100" s="5">
        <v>8.013087603</v>
      </c>
      <c r="K100" s="5">
        <v>0.223996401719506</v>
      </c>
      <c r="L100" s="6">
        <v>1.77896801323362e+18</v>
      </c>
      <c r="M100" s="5">
        <v>0.29657794676806</v>
      </c>
      <c r="N100" s="6">
        <v>1.77896802182174e+18</v>
      </c>
      <c r="O100" s="6">
        <v>1.77896736056081e+18</v>
      </c>
      <c r="P100" s="5">
        <v>640.062715861</v>
      </c>
      <c r="Q100" s="5">
        <v>0.25</v>
      </c>
      <c r="R100" s="5">
        <v>6</v>
      </c>
      <c r="S100" s="5" t="s">
        <v>145</v>
      </c>
      <c r="T100" s="5" t="s">
        <v>146</v>
      </c>
      <c r="U100" s="5" t="b">
        <v>0</v>
      </c>
      <c r="V100" s="5">
        <v>25</v>
      </c>
      <c r="W100" s="5">
        <v>0</v>
      </c>
      <c r="X100" s="5">
        <v>10</v>
      </c>
      <c r="Y100" s="5">
        <v>8</v>
      </c>
      <c r="Z100" s="5" t="b">
        <v>0</v>
      </c>
      <c r="AA100" s="5">
        <v>4</v>
      </c>
      <c r="AB100" s="5" t="b">
        <v>0</v>
      </c>
      <c r="AC100" s="5" t="b">
        <v>0</v>
      </c>
      <c r="AD100" s="5" t="s">
        <v>147</v>
      </c>
      <c r="AE100" s="5" t="s">
        <v>1068</v>
      </c>
      <c r="AF100" s="5">
        <v>1</v>
      </c>
      <c r="AG100" s="5" t="b">
        <v>0</v>
      </c>
      <c r="AH100" s="5" t="b">
        <v>0</v>
      </c>
      <c r="AI100" s="5" t="s">
        <v>149</v>
      </c>
      <c r="AJ100" s="5">
        <v>3</v>
      </c>
      <c r="AK100" s="5" t="b">
        <v>0</v>
      </c>
      <c r="AL100" s="5">
        <v>4</v>
      </c>
      <c r="AM100" s="5">
        <v>0</v>
      </c>
      <c r="AN100" s="5">
        <v>0</v>
      </c>
      <c r="AO100" s="5" t="b">
        <v>0</v>
      </c>
      <c r="AP100" s="5">
        <v>0.001</v>
      </c>
      <c r="AQ100" s="5">
        <v>256</v>
      </c>
      <c r="AR100" s="5" t="b">
        <v>1</v>
      </c>
      <c r="AS100" s="5">
        <v>1</v>
      </c>
      <c r="AT100" s="5">
        <v>3</v>
      </c>
      <c r="AU100" s="5">
        <v>0.1</v>
      </c>
      <c r="AV100" s="5">
        <v>0.1</v>
      </c>
      <c r="AW100" s="5" t="b">
        <v>0</v>
      </c>
      <c r="AX100" s="5">
        <v>32</v>
      </c>
      <c r="AY100" s="5">
        <v>7</v>
      </c>
      <c r="AZ100" s="5">
        <v>1</v>
      </c>
      <c r="BA100" s="5">
        <v>16</v>
      </c>
      <c r="BB100" s="5" t="s">
        <v>264</v>
      </c>
      <c r="BC100" s="5" t="s">
        <v>151</v>
      </c>
      <c r="BD100" s="5">
        <v>10</v>
      </c>
      <c r="BE100" s="5" t="b">
        <v>0</v>
      </c>
      <c r="BF100" s="5" t="s">
        <v>152</v>
      </c>
      <c r="BG100" s="5" t="s">
        <v>1069</v>
      </c>
      <c r="BH100" s="5">
        <v>0</v>
      </c>
      <c r="BI100" s="5" t="s">
        <v>154</v>
      </c>
      <c r="BJ100" s="5">
        <v>2</v>
      </c>
      <c r="BK100" s="5"/>
      <c r="BL100" s="5" t="b">
        <v>0</v>
      </c>
      <c r="BM100" s="5">
        <v>0</v>
      </c>
      <c r="BN100" s="5">
        <v>0</v>
      </c>
      <c r="BO100" s="5" t="s">
        <v>155</v>
      </c>
      <c r="BP100" s="5">
        <v>128</v>
      </c>
      <c r="BQ100" s="5" t="s">
        <v>156</v>
      </c>
      <c r="BR100" s="5">
        <v>2</v>
      </c>
      <c r="BS100" s="5" t="s">
        <v>157</v>
      </c>
      <c r="BT100" s="5">
        <v>0</v>
      </c>
      <c r="BU100" s="5">
        <v>96</v>
      </c>
      <c r="BV100" s="5" t="b">
        <v>0</v>
      </c>
      <c r="BW100" s="5">
        <v>1000</v>
      </c>
      <c r="BX100" s="5">
        <v>0.3</v>
      </c>
      <c r="BY100" s="5" t="b">
        <v>0</v>
      </c>
      <c r="BZ100" s="5" t="s">
        <v>1070</v>
      </c>
      <c r="CA100" s="5" t="s">
        <v>15</v>
      </c>
      <c r="CB100" s="5" t="s">
        <v>1071</v>
      </c>
      <c r="CC100" s="5" t="s">
        <v>160</v>
      </c>
      <c r="CD100" s="5">
        <v>1751</v>
      </c>
      <c r="CE100" s="5">
        <v>32</v>
      </c>
      <c r="CF100" s="5" t="b">
        <v>0</v>
      </c>
      <c r="CG100" s="5" t="s">
        <v>161</v>
      </c>
      <c r="CH100" s="5">
        <v>48</v>
      </c>
      <c r="CI100" s="5">
        <v>1</v>
      </c>
      <c r="CJ100" s="5">
        <v>0.25</v>
      </c>
      <c r="CK100" s="5">
        <v>7</v>
      </c>
      <c r="CL100" s="5" t="s">
        <v>1072</v>
      </c>
      <c r="CM100" s="5">
        <v>7</v>
      </c>
      <c r="CN100" s="5" t="s">
        <v>163</v>
      </c>
      <c r="CO100" s="5">
        <v>0</v>
      </c>
      <c r="CP100" s="5" t="s">
        <v>269</v>
      </c>
      <c r="CQ100" s="5" t="s">
        <v>164</v>
      </c>
      <c r="CR100" s="5" t="s">
        <v>1069</v>
      </c>
      <c r="CS100" s="5">
        <v>3</v>
      </c>
      <c r="CT100" s="5" t="b">
        <v>0</v>
      </c>
      <c r="CU100" s="5" t="s">
        <v>165</v>
      </c>
      <c r="CV100" s="5" t="b">
        <v>1</v>
      </c>
      <c r="CW100" s="5" t="b">
        <v>0</v>
      </c>
      <c r="CX100" s="5">
        <v>1</v>
      </c>
      <c r="CY100" s="5">
        <v>2</v>
      </c>
      <c r="CZ100" s="5" t="b">
        <v>0</v>
      </c>
      <c r="DA100" s="5" t="b">
        <v>0</v>
      </c>
      <c r="DB100" s="5" t="b">
        <v>0</v>
      </c>
      <c r="DC100" s="5" t="s">
        <v>166</v>
      </c>
      <c r="DD100" s="5" t="s">
        <v>167</v>
      </c>
      <c r="DE100" s="5" t="s">
        <v>168</v>
      </c>
      <c r="DF100" s="5">
        <v>0.5</v>
      </c>
      <c r="DG100" s="5">
        <v>10</v>
      </c>
      <c r="DH100" s="5">
        <v>0.3</v>
      </c>
      <c r="DI100" s="5">
        <v>1</v>
      </c>
      <c r="DJ100" s="5">
        <v>1</v>
      </c>
      <c r="DK100" s="5" t="s">
        <v>169</v>
      </c>
      <c r="DL100" s="5" t="b">
        <v>0</v>
      </c>
      <c r="DM100" s="5">
        <v>32</v>
      </c>
      <c r="DN100" s="5">
        <v>1</v>
      </c>
      <c r="DO100" s="5" t="s">
        <v>170</v>
      </c>
      <c r="DP100" s="5" t="s">
        <v>1071</v>
      </c>
      <c r="DQ100" s="5" t="s">
        <v>171</v>
      </c>
      <c r="DR100" s="5" t="s">
        <v>172</v>
      </c>
      <c r="DS100" s="7" t="str">
        <f>_xlfn.XLOOKUP(CP100,datasetmap!B:B,datasetmap!A:A)</f>
        <v>EC</v>
      </c>
      <c r="DT100" s="8">
        <f t="shared" si="1"/>
        <v>8.588070144</v>
      </c>
    </row>
    <row r="101" ht="17.6" spans="1:124">
      <c r="A101" s="5" t="s">
        <v>1073</v>
      </c>
      <c r="B101" s="5">
        <v>32</v>
      </c>
      <c r="C101" s="5" t="s">
        <v>141</v>
      </c>
      <c r="D101" s="5" t="s">
        <v>1074</v>
      </c>
      <c r="E101" s="5" t="s">
        <v>1075</v>
      </c>
      <c r="F101" s="5" t="s">
        <v>1076</v>
      </c>
      <c r="G101" s="6">
        <v>1.7789673691804e+18</v>
      </c>
      <c r="H101" s="5">
        <v>0.868164436486852</v>
      </c>
      <c r="I101" s="5">
        <v>0.864676772765008</v>
      </c>
      <c r="J101" s="5">
        <v>3.470241916</v>
      </c>
      <c r="K101" s="5">
        <v>0.868164436486852</v>
      </c>
      <c r="L101" s="6">
        <v>1.77896736918033e+18</v>
      </c>
      <c r="M101" s="5">
        <v>0.865625</v>
      </c>
      <c r="N101" s="6">
        <v>1.77896737294153e+18</v>
      </c>
      <c r="O101" s="6">
        <v>1.77896721733679e+18</v>
      </c>
      <c r="P101" s="5">
        <v>149.990931377</v>
      </c>
      <c r="Q101" s="5">
        <v>0.25</v>
      </c>
      <c r="R101" s="5">
        <v>6</v>
      </c>
      <c r="S101" s="5" t="s">
        <v>145</v>
      </c>
      <c r="T101" s="5" t="s">
        <v>146</v>
      </c>
      <c r="U101" s="5" t="b">
        <v>0</v>
      </c>
      <c r="V101" s="5">
        <v>25</v>
      </c>
      <c r="W101" s="5">
        <v>0</v>
      </c>
      <c r="X101" s="5">
        <v>10</v>
      </c>
      <c r="Y101" s="5">
        <v>8</v>
      </c>
      <c r="Z101" s="5" t="b">
        <v>0</v>
      </c>
      <c r="AA101" s="5">
        <v>4</v>
      </c>
      <c r="AB101" s="5" t="b">
        <v>0</v>
      </c>
      <c r="AC101" s="5" t="b">
        <v>0</v>
      </c>
      <c r="AD101" s="5" t="s">
        <v>147</v>
      </c>
      <c r="AE101" s="5" t="s">
        <v>1077</v>
      </c>
      <c r="AF101" s="5">
        <v>1</v>
      </c>
      <c r="AG101" s="5" t="b">
        <v>0</v>
      </c>
      <c r="AH101" s="5" t="b">
        <v>0</v>
      </c>
      <c r="AI101" s="5" t="s">
        <v>149</v>
      </c>
      <c r="AJ101" s="5">
        <v>3</v>
      </c>
      <c r="AK101" s="5" t="b">
        <v>0</v>
      </c>
      <c r="AL101" s="5">
        <v>8</v>
      </c>
      <c r="AM101" s="5">
        <v>0</v>
      </c>
      <c r="AN101" s="5">
        <v>0</v>
      </c>
      <c r="AO101" s="5" t="b">
        <v>0</v>
      </c>
      <c r="AP101" s="5">
        <v>0.001</v>
      </c>
      <c r="AQ101" s="5">
        <v>256</v>
      </c>
      <c r="AR101" s="5" t="b">
        <v>1</v>
      </c>
      <c r="AS101" s="5">
        <v>1</v>
      </c>
      <c r="AT101" s="5">
        <v>3</v>
      </c>
      <c r="AU101" s="5">
        <v>0.1</v>
      </c>
      <c r="AV101" s="5">
        <v>0.1</v>
      </c>
      <c r="AW101" s="5" t="b">
        <v>0</v>
      </c>
      <c r="AX101" s="5">
        <v>32</v>
      </c>
      <c r="AY101" s="5">
        <v>7</v>
      </c>
      <c r="AZ101" s="5">
        <v>1</v>
      </c>
      <c r="BA101" s="5">
        <v>16</v>
      </c>
      <c r="BB101" s="5" t="s">
        <v>275</v>
      </c>
      <c r="BC101" s="5" t="s">
        <v>151</v>
      </c>
      <c r="BD101" s="5">
        <v>10</v>
      </c>
      <c r="BE101" s="5" t="b">
        <v>0</v>
      </c>
      <c r="BF101" s="5" t="s">
        <v>152</v>
      </c>
      <c r="BG101" s="5" t="s">
        <v>1078</v>
      </c>
      <c r="BH101" s="5">
        <v>0</v>
      </c>
      <c r="BI101" s="5" t="s">
        <v>154</v>
      </c>
      <c r="BJ101" s="5">
        <v>2</v>
      </c>
      <c r="BK101" s="5"/>
      <c r="BL101" s="5" t="b">
        <v>0</v>
      </c>
      <c r="BM101" s="5">
        <v>0</v>
      </c>
      <c r="BN101" s="5">
        <v>0</v>
      </c>
      <c r="BO101" s="5" t="s">
        <v>155</v>
      </c>
      <c r="BP101" s="5">
        <v>128</v>
      </c>
      <c r="BQ101" s="5" t="s">
        <v>156</v>
      </c>
      <c r="BR101" s="5">
        <v>2</v>
      </c>
      <c r="BS101" s="5" t="s">
        <v>157</v>
      </c>
      <c r="BT101" s="5">
        <v>0</v>
      </c>
      <c r="BU101" s="5">
        <v>96</v>
      </c>
      <c r="BV101" s="5" t="b">
        <v>0</v>
      </c>
      <c r="BW101" s="5">
        <v>1000</v>
      </c>
      <c r="BX101" s="5">
        <v>0.3</v>
      </c>
      <c r="BY101" s="5" t="b">
        <v>0</v>
      </c>
      <c r="BZ101" s="5" t="s">
        <v>1079</v>
      </c>
      <c r="CA101" s="5" t="s">
        <v>15</v>
      </c>
      <c r="CB101" s="5" t="s">
        <v>1080</v>
      </c>
      <c r="CC101" s="5" t="s">
        <v>160</v>
      </c>
      <c r="CD101" s="5">
        <v>315</v>
      </c>
      <c r="CE101" s="5">
        <v>32</v>
      </c>
      <c r="CF101" s="5" t="b">
        <v>0</v>
      </c>
      <c r="CG101" s="5" t="s">
        <v>161</v>
      </c>
      <c r="CH101" s="5">
        <v>48</v>
      </c>
      <c r="CI101" s="5">
        <v>1</v>
      </c>
      <c r="CJ101" s="5">
        <v>0.25</v>
      </c>
      <c r="CK101" s="5">
        <v>7</v>
      </c>
      <c r="CL101" s="5" t="s">
        <v>1081</v>
      </c>
      <c r="CM101" s="5">
        <v>7</v>
      </c>
      <c r="CN101" s="5" t="s">
        <v>163</v>
      </c>
      <c r="CO101" s="5">
        <v>0</v>
      </c>
      <c r="CP101" s="5" t="s">
        <v>280</v>
      </c>
      <c r="CQ101" s="5" t="s">
        <v>164</v>
      </c>
      <c r="CR101" s="5" t="s">
        <v>1078</v>
      </c>
      <c r="CS101" s="5">
        <v>3</v>
      </c>
      <c r="CT101" s="5" t="b">
        <v>0</v>
      </c>
      <c r="CU101" s="5" t="s">
        <v>165</v>
      </c>
      <c r="CV101" s="5" t="b">
        <v>1</v>
      </c>
      <c r="CW101" s="5" t="b">
        <v>0</v>
      </c>
      <c r="CX101" s="5">
        <v>1</v>
      </c>
      <c r="CY101" s="5">
        <v>2</v>
      </c>
      <c r="CZ101" s="5" t="b">
        <v>0</v>
      </c>
      <c r="DA101" s="5" t="b">
        <v>0</v>
      </c>
      <c r="DB101" s="5" t="b">
        <v>0</v>
      </c>
      <c r="DC101" s="5" t="s">
        <v>166</v>
      </c>
      <c r="DD101" s="5" t="s">
        <v>167</v>
      </c>
      <c r="DE101" s="5" t="s">
        <v>168</v>
      </c>
      <c r="DF101" s="5">
        <v>0.5</v>
      </c>
      <c r="DG101" s="5">
        <v>10</v>
      </c>
      <c r="DH101" s="5">
        <v>0.3</v>
      </c>
      <c r="DI101" s="5">
        <v>1</v>
      </c>
      <c r="DJ101" s="5">
        <v>1</v>
      </c>
      <c r="DK101" s="5" t="s">
        <v>169</v>
      </c>
      <c r="DL101" s="5" t="b">
        <v>0</v>
      </c>
      <c r="DM101" s="5">
        <v>32</v>
      </c>
      <c r="DN101" s="5">
        <v>1</v>
      </c>
      <c r="DO101" s="5" t="s">
        <v>170</v>
      </c>
      <c r="DP101" s="5" t="s">
        <v>1080</v>
      </c>
      <c r="DQ101" s="5" t="s">
        <v>171</v>
      </c>
      <c r="DR101" s="5" t="s">
        <v>172</v>
      </c>
      <c r="DS101" s="7" t="str">
        <f>_xlfn.XLOOKUP(CP101,datasetmap!B:B,datasetmap!A:A)</f>
        <v>UWG</v>
      </c>
      <c r="DT101" s="8">
        <f t="shared" si="1"/>
        <v>3.761129984</v>
      </c>
    </row>
    <row r="102" ht="17.6" spans="1:124">
      <c r="A102" s="5" t="s">
        <v>1082</v>
      </c>
      <c r="B102" s="5">
        <v>32</v>
      </c>
      <c r="C102" s="5" t="s">
        <v>141</v>
      </c>
      <c r="D102" s="5" t="s">
        <v>1083</v>
      </c>
      <c r="E102" s="5" t="s">
        <v>1084</v>
      </c>
      <c r="F102" s="5" t="s">
        <v>1085</v>
      </c>
      <c r="G102" s="6">
        <v>1.77892102340879e+18</v>
      </c>
      <c r="H102" s="5">
        <v>0.79056700322292</v>
      </c>
      <c r="I102" s="5">
        <v>0.766848988102029</v>
      </c>
      <c r="J102" s="5">
        <v>0.674937456</v>
      </c>
      <c r="K102" s="5">
        <v>0.79056700322292</v>
      </c>
      <c r="L102" s="6">
        <v>1.77892102340873e+18</v>
      </c>
      <c r="M102" s="5">
        <v>0.76300578034682</v>
      </c>
      <c r="N102" s="6">
        <v>1.77892105090238e+18</v>
      </c>
      <c r="O102" s="6">
        <v>1.77892085048867e+18</v>
      </c>
      <c r="P102" s="5">
        <v>56.640845622</v>
      </c>
      <c r="Q102" s="5">
        <v>0.25</v>
      </c>
      <c r="R102" s="5">
        <v>6</v>
      </c>
      <c r="S102" s="5" t="s">
        <v>145</v>
      </c>
      <c r="T102" s="5" t="s">
        <v>146</v>
      </c>
      <c r="U102" s="5" t="b">
        <v>0</v>
      </c>
      <c r="V102" s="5">
        <v>25</v>
      </c>
      <c r="W102" s="5">
        <v>0</v>
      </c>
      <c r="X102" s="5">
        <v>10</v>
      </c>
      <c r="Y102" s="5">
        <v>8</v>
      </c>
      <c r="Z102" s="5" t="b">
        <v>0</v>
      </c>
      <c r="AA102" s="5">
        <v>4</v>
      </c>
      <c r="AB102" s="5" t="b">
        <v>0</v>
      </c>
      <c r="AC102" s="5" t="b">
        <v>0</v>
      </c>
      <c r="AD102" s="5" t="s">
        <v>147</v>
      </c>
      <c r="AE102" s="5" t="s">
        <v>1086</v>
      </c>
      <c r="AF102" s="5">
        <v>1</v>
      </c>
      <c r="AG102" s="5" t="b">
        <v>0</v>
      </c>
      <c r="AH102" s="5" t="b">
        <v>0</v>
      </c>
      <c r="AI102" s="5" t="s">
        <v>149</v>
      </c>
      <c r="AJ102" s="5">
        <v>3</v>
      </c>
      <c r="AK102" s="5" t="b">
        <v>0</v>
      </c>
      <c r="AL102" s="5">
        <v>7</v>
      </c>
      <c r="AM102" s="5">
        <v>0</v>
      </c>
      <c r="AN102" s="5">
        <v>0</v>
      </c>
      <c r="AO102" s="5" t="b">
        <v>0</v>
      </c>
      <c r="AP102" s="5">
        <v>0.001</v>
      </c>
      <c r="AQ102" s="5">
        <v>256</v>
      </c>
      <c r="AR102" s="5" t="b">
        <v>1</v>
      </c>
      <c r="AS102" s="5">
        <v>1</v>
      </c>
      <c r="AT102" s="5">
        <v>3</v>
      </c>
      <c r="AU102" s="5">
        <v>0.1</v>
      </c>
      <c r="AV102" s="5">
        <v>0.1</v>
      </c>
      <c r="AW102" s="5" t="b">
        <v>0</v>
      </c>
      <c r="AX102" s="5">
        <v>32</v>
      </c>
      <c r="AY102" s="5">
        <v>2026</v>
      </c>
      <c r="AZ102" s="5">
        <v>1</v>
      </c>
      <c r="BA102" s="5">
        <v>16</v>
      </c>
      <c r="BB102" s="5" t="s">
        <v>150</v>
      </c>
      <c r="BC102" s="5" t="s">
        <v>151</v>
      </c>
      <c r="BD102" s="5">
        <v>10</v>
      </c>
      <c r="BE102" s="5" t="b">
        <v>0</v>
      </c>
      <c r="BF102" s="5" t="s">
        <v>152</v>
      </c>
      <c r="BG102" s="5" t="s">
        <v>1087</v>
      </c>
      <c r="BH102" s="5">
        <v>0</v>
      </c>
      <c r="BI102" s="5" t="s">
        <v>154</v>
      </c>
      <c r="BJ102" s="5">
        <v>2</v>
      </c>
      <c r="BK102" s="5"/>
      <c r="BL102" s="5" t="b">
        <v>0</v>
      </c>
      <c r="BM102" s="5">
        <v>0</v>
      </c>
      <c r="BN102" s="5">
        <v>0</v>
      </c>
      <c r="BO102" s="5" t="s">
        <v>155</v>
      </c>
      <c r="BP102" s="5">
        <v>128</v>
      </c>
      <c r="BQ102" s="5" t="s">
        <v>156</v>
      </c>
      <c r="BR102" s="5">
        <v>2</v>
      </c>
      <c r="BS102" s="5" t="s">
        <v>157</v>
      </c>
      <c r="BT102" s="5">
        <v>0</v>
      </c>
      <c r="BU102" s="5">
        <v>96</v>
      </c>
      <c r="BV102" s="5" t="b">
        <v>0</v>
      </c>
      <c r="BW102" s="5">
        <v>1000</v>
      </c>
      <c r="BX102" s="5">
        <v>0.3</v>
      </c>
      <c r="BY102" s="5" t="b">
        <v>0</v>
      </c>
      <c r="BZ102" s="5" t="s">
        <v>1088</v>
      </c>
      <c r="CA102" s="5" t="s">
        <v>13</v>
      </c>
      <c r="CB102" s="5" t="s">
        <v>1089</v>
      </c>
      <c r="CC102" s="5" t="s">
        <v>160</v>
      </c>
      <c r="CD102" s="5">
        <v>144</v>
      </c>
      <c r="CE102" s="5">
        <v>32</v>
      </c>
      <c r="CF102" s="5" t="b">
        <v>0</v>
      </c>
      <c r="CG102" s="5" t="s">
        <v>161</v>
      </c>
      <c r="CH102" s="5">
        <v>48</v>
      </c>
      <c r="CI102" s="5">
        <v>1</v>
      </c>
      <c r="CJ102" s="5">
        <v>0.25</v>
      </c>
      <c r="CK102" s="5">
        <v>7</v>
      </c>
      <c r="CL102" s="5" t="s">
        <v>1090</v>
      </c>
      <c r="CM102" s="5">
        <v>7</v>
      </c>
      <c r="CN102" s="5" t="s">
        <v>163</v>
      </c>
      <c r="CO102" s="5">
        <v>0</v>
      </c>
      <c r="CP102" s="5" t="s">
        <v>8</v>
      </c>
      <c r="CQ102" s="5" t="s">
        <v>164</v>
      </c>
      <c r="CR102" s="5" t="s">
        <v>1087</v>
      </c>
      <c r="CS102" s="5">
        <v>963</v>
      </c>
      <c r="CT102" s="5" t="b">
        <v>0</v>
      </c>
      <c r="CU102" s="5" t="s">
        <v>165</v>
      </c>
      <c r="CV102" s="5" t="b">
        <v>1</v>
      </c>
      <c r="CW102" s="5" t="b">
        <v>0</v>
      </c>
      <c r="CX102" s="5">
        <v>1</v>
      </c>
      <c r="CY102" s="5">
        <v>2</v>
      </c>
      <c r="CZ102" s="5" t="b">
        <v>0</v>
      </c>
      <c r="DA102" s="5" t="b">
        <v>0</v>
      </c>
      <c r="DB102" s="5" t="b">
        <v>0</v>
      </c>
      <c r="DC102" s="5" t="s">
        <v>166</v>
      </c>
      <c r="DD102" s="5" t="s">
        <v>167</v>
      </c>
      <c r="DE102" s="5" t="s">
        <v>168</v>
      </c>
      <c r="DF102" s="5">
        <v>0.5</v>
      </c>
      <c r="DG102" s="5">
        <v>10</v>
      </c>
      <c r="DH102" s="5">
        <v>0.3</v>
      </c>
      <c r="DI102" s="5">
        <v>1</v>
      </c>
      <c r="DJ102" s="5">
        <v>1</v>
      </c>
      <c r="DK102" s="5" t="s">
        <v>169</v>
      </c>
      <c r="DL102" s="5" t="b">
        <v>0</v>
      </c>
      <c r="DM102" s="5">
        <v>32</v>
      </c>
      <c r="DN102" s="5">
        <v>1</v>
      </c>
      <c r="DO102" s="5" t="s">
        <v>170</v>
      </c>
      <c r="DP102" s="5" t="s">
        <v>1089</v>
      </c>
      <c r="DQ102" s="5" t="s">
        <v>171</v>
      </c>
      <c r="DR102" s="5" t="s">
        <v>172</v>
      </c>
      <c r="DS102" s="7" t="str">
        <f>_xlfn.XLOOKUP(CP102,datasetmap!B:B,datasetmap!A:A)</f>
        <v>PEMS-SF</v>
      </c>
      <c r="DT102" s="8">
        <f t="shared" si="1"/>
        <v>27.493590016</v>
      </c>
    </row>
    <row r="103" ht="17.6" spans="1:124">
      <c r="A103" s="5" t="s">
        <v>1091</v>
      </c>
      <c r="B103" s="5">
        <v>32</v>
      </c>
      <c r="C103" s="5" t="s">
        <v>141</v>
      </c>
      <c r="D103" s="5" t="s">
        <v>1092</v>
      </c>
      <c r="E103" s="5" t="s">
        <v>1093</v>
      </c>
      <c r="F103" s="5" t="s">
        <v>1094</v>
      </c>
      <c r="G103" s="6">
        <v>1.77892069419954e+18</v>
      </c>
      <c r="H103" s="5">
        <v>0.990962789220149</v>
      </c>
      <c r="I103" s="5">
        <v>0.990909627708085</v>
      </c>
      <c r="J103" s="5">
        <v>0.609774034</v>
      </c>
      <c r="K103" s="5">
        <v>0.990962789220149</v>
      </c>
      <c r="L103" s="6">
        <v>1.77892069419947e+18</v>
      </c>
      <c r="M103" s="5">
        <v>0.990904956798544</v>
      </c>
      <c r="N103" s="6">
        <v>1.77892069909695e+18</v>
      </c>
      <c r="O103" s="6">
        <v>1.77892060903565e+18</v>
      </c>
      <c r="P103" s="5">
        <v>63.680473351</v>
      </c>
      <c r="Q103" s="5">
        <v>0.25</v>
      </c>
      <c r="R103" s="5">
        <v>6</v>
      </c>
      <c r="S103" s="5" t="s">
        <v>145</v>
      </c>
      <c r="T103" s="5" t="s">
        <v>146</v>
      </c>
      <c r="U103" s="5" t="b">
        <v>0</v>
      </c>
      <c r="V103" s="5">
        <v>25</v>
      </c>
      <c r="W103" s="5">
        <v>0</v>
      </c>
      <c r="X103" s="5">
        <v>10</v>
      </c>
      <c r="Y103" s="5">
        <v>8</v>
      </c>
      <c r="Z103" s="5" t="b">
        <v>0</v>
      </c>
      <c r="AA103" s="5">
        <v>4</v>
      </c>
      <c r="AB103" s="5" t="b">
        <v>0</v>
      </c>
      <c r="AC103" s="5" t="b">
        <v>0</v>
      </c>
      <c r="AD103" s="5" t="s">
        <v>147</v>
      </c>
      <c r="AE103" s="5" t="s">
        <v>1095</v>
      </c>
      <c r="AF103" s="5">
        <v>1</v>
      </c>
      <c r="AG103" s="5" t="b">
        <v>0</v>
      </c>
      <c r="AH103" s="5" t="b">
        <v>0</v>
      </c>
      <c r="AI103" s="5" t="s">
        <v>149</v>
      </c>
      <c r="AJ103" s="5">
        <v>3</v>
      </c>
      <c r="AK103" s="5" t="b">
        <v>0</v>
      </c>
      <c r="AL103" s="5">
        <v>10</v>
      </c>
      <c r="AM103" s="5">
        <v>0</v>
      </c>
      <c r="AN103" s="5">
        <v>0</v>
      </c>
      <c r="AO103" s="5" t="b">
        <v>0</v>
      </c>
      <c r="AP103" s="5">
        <v>0.001</v>
      </c>
      <c r="AQ103" s="5">
        <v>256</v>
      </c>
      <c r="AR103" s="5" t="b">
        <v>1</v>
      </c>
      <c r="AS103" s="5">
        <v>1</v>
      </c>
      <c r="AT103" s="5">
        <v>3</v>
      </c>
      <c r="AU103" s="5">
        <v>0.1</v>
      </c>
      <c r="AV103" s="5">
        <v>0.1</v>
      </c>
      <c r="AW103" s="5" t="b">
        <v>0</v>
      </c>
      <c r="AX103" s="5">
        <v>32</v>
      </c>
      <c r="AY103" s="5">
        <v>2026</v>
      </c>
      <c r="AZ103" s="5">
        <v>1</v>
      </c>
      <c r="BA103" s="5">
        <v>16</v>
      </c>
      <c r="BB103" s="5" t="s">
        <v>178</v>
      </c>
      <c r="BC103" s="5" t="s">
        <v>151</v>
      </c>
      <c r="BD103" s="5">
        <v>10</v>
      </c>
      <c r="BE103" s="5" t="b">
        <v>0</v>
      </c>
      <c r="BF103" s="5" t="s">
        <v>152</v>
      </c>
      <c r="BG103" s="5" t="s">
        <v>1096</v>
      </c>
      <c r="BH103" s="5">
        <v>0</v>
      </c>
      <c r="BI103" s="5" t="s">
        <v>154</v>
      </c>
      <c r="BJ103" s="5">
        <v>2</v>
      </c>
      <c r="BK103" s="5"/>
      <c r="BL103" s="5" t="b">
        <v>0</v>
      </c>
      <c r="BM103" s="5">
        <v>0</v>
      </c>
      <c r="BN103" s="5">
        <v>0</v>
      </c>
      <c r="BO103" s="5" t="s">
        <v>155</v>
      </c>
      <c r="BP103" s="5">
        <v>128</v>
      </c>
      <c r="BQ103" s="5" t="s">
        <v>156</v>
      </c>
      <c r="BR103" s="5">
        <v>2</v>
      </c>
      <c r="BS103" s="5" t="s">
        <v>157</v>
      </c>
      <c r="BT103" s="5">
        <v>0</v>
      </c>
      <c r="BU103" s="5">
        <v>96</v>
      </c>
      <c r="BV103" s="5" t="b">
        <v>0</v>
      </c>
      <c r="BW103" s="5">
        <v>1000</v>
      </c>
      <c r="BX103" s="5">
        <v>0.3</v>
      </c>
      <c r="BY103" s="5" t="b">
        <v>0</v>
      </c>
      <c r="BZ103" s="5" t="s">
        <v>1097</v>
      </c>
      <c r="CA103" s="5" t="s">
        <v>13</v>
      </c>
      <c r="CB103" s="5" t="s">
        <v>1098</v>
      </c>
      <c r="CC103" s="5" t="s">
        <v>160</v>
      </c>
      <c r="CD103" s="5">
        <v>93</v>
      </c>
      <c r="CE103" s="5">
        <v>32</v>
      </c>
      <c r="CF103" s="5" t="b">
        <v>0</v>
      </c>
      <c r="CG103" s="5" t="s">
        <v>161</v>
      </c>
      <c r="CH103" s="5">
        <v>48</v>
      </c>
      <c r="CI103" s="5">
        <v>1</v>
      </c>
      <c r="CJ103" s="5">
        <v>0.25</v>
      </c>
      <c r="CK103" s="5">
        <v>7</v>
      </c>
      <c r="CL103" s="5" t="s">
        <v>1099</v>
      </c>
      <c r="CM103" s="5">
        <v>7</v>
      </c>
      <c r="CN103" s="5" t="s">
        <v>163</v>
      </c>
      <c r="CO103" s="5">
        <v>0</v>
      </c>
      <c r="CP103" s="5" t="s">
        <v>183</v>
      </c>
      <c r="CQ103" s="5" t="s">
        <v>164</v>
      </c>
      <c r="CR103" s="5" t="s">
        <v>1096</v>
      </c>
      <c r="CS103" s="5">
        <v>13</v>
      </c>
      <c r="CT103" s="5" t="b">
        <v>0</v>
      </c>
      <c r="CU103" s="5" t="s">
        <v>165</v>
      </c>
      <c r="CV103" s="5" t="b">
        <v>1</v>
      </c>
      <c r="CW103" s="5" t="b">
        <v>0</v>
      </c>
      <c r="CX103" s="5">
        <v>1</v>
      </c>
      <c r="CY103" s="5">
        <v>2</v>
      </c>
      <c r="CZ103" s="5" t="b">
        <v>0</v>
      </c>
      <c r="DA103" s="5" t="b">
        <v>0</v>
      </c>
      <c r="DB103" s="5" t="b">
        <v>0</v>
      </c>
      <c r="DC103" s="5" t="s">
        <v>166</v>
      </c>
      <c r="DD103" s="5" t="s">
        <v>167</v>
      </c>
      <c r="DE103" s="5" t="s">
        <v>168</v>
      </c>
      <c r="DF103" s="5">
        <v>0.5</v>
      </c>
      <c r="DG103" s="5">
        <v>10</v>
      </c>
      <c r="DH103" s="5">
        <v>0.3</v>
      </c>
      <c r="DI103" s="5">
        <v>1</v>
      </c>
      <c r="DJ103" s="5">
        <v>1</v>
      </c>
      <c r="DK103" s="5" t="s">
        <v>169</v>
      </c>
      <c r="DL103" s="5" t="b">
        <v>0</v>
      </c>
      <c r="DM103" s="5">
        <v>32</v>
      </c>
      <c r="DN103" s="5">
        <v>1</v>
      </c>
      <c r="DO103" s="5" t="s">
        <v>170</v>
      </c>
      <c r="DP103" s="5" t="s">
        <v>1098</v>
      </c>
      <c r="DQ103" s="5" t="s">
        <v>171</v>
      </c>
      <c r="DR103" s="5" t="s">
        <v>172</v>
      </c>
      <c r="DS103" s="7" t="str">
        <f>_xlfn.XLOOKUP(CP103,datasetmap!B:B,datasetmap!A:A)</f>
        <v>SAD</v>
      </c>
      <c r="DT103" s="8">
        <f t="shared" si="1"/>
        <v>4.897410048</v>
      </c>
    </row>
    <row r="104" ht="17.6" spans="1:124">
      <c r="A104" s="5" t="s">
        <v>1100</v>
      </c>
      <c r="B104" s="5">
        <v>32</v>
      </c>
      <c r="C104" s="5" t="s">
        <v>141</v>
      </c>
      <c r="D104" s="5" t="s">
        <v>1101</v>
      </c>
      <c r="E104" s="5" t="s">
        <v>1102</v>
      </c>
      <c r="F104" s="5" t="s">
        <v>1103</v>
      </c>
      <c r="G104" s="6">
        <v>1.7789205981503e+18</v>
      </c>
      <c r="H104" s="5">
        <v>0.566798614547253</v>
      </c>
      <c r="I104" s="5">
        <v>0.56645256916996</v>
      </c>
      <c r="J104" s="5">
        <v>0.75676816</v>
      </c>
      <c r="K104" s="5">
        <v>0.566798614547253</v>
      </c>
      <c r="L104" s="6">
        <v>1.77892059815022e+18</v>
      </c>
      <c r="M104" s="5">
        <v>0.566666666666666</v>
      </c>
      <c r="N104" s="6">
        <v>1.778920599451e+18</v>
      </c>
      <c r="O104" s="6">
        <v>1.77892055567406e+18</v>
      </c>
      <c r="P104" s="5">
        <v>40.765620595</v>
      </c>
      <c r="Q104" s="5">
        <v>0.25</v>
      </c>
      <c r="R104" s="5">
        <v>6</v>
      </c>
      <c r="S104" s="5" t="s">
        <v>145</v>
      </c>
      <c r="T104" s="5" t="s">
        <v>146</v>
      </c>
      <c r="U104" s="5" t="b">
        <v>0</v>
      </c>
      <c r="V104" s="5">
        <v>25</v>
      </c>
      <c r="W104" s="5">
        <v>0</v>
      </c>
      <c r="X104" s="5">
        <v>10</v>
      </c>
      <c r="Y104" s="5">
        <v>8</v>
      </c>
      <c r="Z104" s="5" t="b">
        <v>0</v>
      </c>
      <c r="AA104" s="5">
        <v>4</v>
      </c>
      <c r="AB104" s="5" t="b">
        <v>0</v>
      </c>
      <c r="AC104" s="5" t="b">
        <v>0</v>
      </c>
      <c r="AD104" s="5" t="s">
        <v>147</v>
      </c>
      <c r="AE104" s="5" t="s">
        <v>1104</v>
      </c>
      <c r="AF104" s="5">
        <v>1</v>
      </c>
      <c r="AG104" s="5" t="b">
        <v>0</v>
      </c>
      <c r="AH104" s="5" t="b">
        <v>0</v>
      </c>
      <c r="AI104" s="5" t="s">
        <v>149</v>
      </c>
      <c r="AJ104" s="5">
        <v>3</v>
      </c>
      <c r="AK104" s="5" t="b">
        <v>0</v>
      </c>
      <c r="AL104" s="5">
        <v>2</v>
      </c>
      <c r="AM104" s="5">
        <v>0</v>
      </c>
      <c r="AN104" s="5">
        <v>0</v>
      </c>
      <c r="AO104" s="5" t="b">
        <v>0</v>
      </c>
      <c r="AP104" s="5">
        <v>0.001</v>
      </c>
      <c r="AQ104" s="5">
        <v>256</v>
      </c>
      <c r="AR104" s="5" t="b">
        <v>1</v>
      </c>
      <c r="AS104" s="5">
        <v>1</v>
      </c>
      <c r="AT104" s="5">
        <v>3</v>
      </c>
      <c r="AU104" s="5">
        <v>0.1</v>
      </c>
      <c r="AV104" s="5">
        <v>0.1</v>
      </c>
      <c r="AW104" s="5" t="b">
        <v>0</v>
      </c>
      <c r="AX104" s="5">
        <v>32</v>
      </c>
      <c r="AY104" s="5">
        <v>2026</v>
      </c>
      <c r="AZ104" s="5">
        <v>1</v>
      </c>
      <c r="BA104" s="5">
        <v>16</v>
      </c>
      <c r="BB104" s="5" t="s">
        <v>200</v>
      </c>
      <c r="BC104" s="5" t="s">
        <v>151</v>
      </c>
      <c r="BD104" s="5">
        <v>10</v>
      </c>
      <c r="BE104" s="5" t="b">
        <v>0</v>
      </c>
      <c r="BF104" s="5" t="s">
        <v>152</v>
      </c>
      <c r="BG104" s="5" t="s">
        <v>1105</v>
      </c>
      <c r="BH104" s="5">
        <v>0</v>
      </c>
      <c r="BI104" s="5" t="s">
        <v>154</v>
      </c>
      <c r="BJ104" s="5">
        <v>2</v>
      </c>
      <c r="BK104" s="5"/>
      <c r="BL104" s="5" t="b">
        <v>0</v>
      </c>
      <c r="BM104" s="5">
        <v>0</v>
      </c>
      <c r="BN104" s="5">
        <v>0</v>
      </c>
      <c r="BO104" s="5" t="s">
        <v>155</v>
      </c>
      <c r="BP104" s="5">
        <v>128</v>
      </c>
      <c r="BQ104" s="5" t="s">
        <v>156</v>
      </c>
      <c r="BR104" s="5">
        <v>2</v>
      </c>
      <c r="BS104" s="5" t="s">
        <v>157</v>
      </c>
      <c r="BT104" s="5">
        <v>0</v>
      </c>
      <c r="BU104" s="5">
        <v>96</v>
      </c>
      <c r="BV104" s="5" t="b">
        <v>0</v>
      </c>
      <c r="BW104" s="5">
        <v>1000</v>
      </c>
      <c r="BX104" s="5">
        <v>0.3</v>
      </c>
      <c r="BY104" s="5" t="b">
        <v>0</v>
      </c>
      <c r="BZ104" s="5" t="s">
        <v>1106</v>
      </c>
      <c r="CA104" s="5" t="s">
        <v>13</v>
      </c>
      <c r="CB104" s="5" t="s">
        <v>1107</v>
      </c>
      <c r="CC104" s="5" t="s">
        <v>160</v>
      </c>
      <c r="CD104" s="5">
        <v>1152</v>
      </c>
      <c r="CE104" s="5">
        <v>32</v>
      </c>
      <c r="CF104" s="5" t="b">
        <v>0</v>
      </c>
      <c r="CG104" s="5" t="s">
        <v>161</v>
      </c>
      <c r="CH104" s="5">
        <v>48</v>
      </c>
      <c r="CI104" s="5">
        <v>1</v>
      </c>
      <c r="CJ104" s="5">
        <v>0.25</v>
      </c>
      <c r="CK104" s="5">
        <v>7</v>
      </c>
      <c r="CL104" s="5" t="s">
        <v>1108</v>
      </c>
      <c r="CM104" s="5">
        <v>7</v>
      </c>
      <c r="CN104" s="5" t="s">
        <v>163</v>
      </c>
      <c r="CO104" s="5">
        <v>0</v>
      </c>
      <c r="CP104" s="5" t="s">
        <v>205</v>
      </c>
      <c r="CQ104" s="5" t="s">
        <v>164</v>
      </c>
      <c r="CR104" s="5" t="s">
        <v>1105</v>
      </c>
      <c r="CS104" s="5">
        <v>7</v>
      </c>
      <c r="CT104" s="5" t="b">
        <v>0</v>
      </c>
      <c r="CU104" s="5" t="s">
        <v>165</v>
      </c>
      <c r="CV104" s="5" t="b">
        <v>1</v>
      </c>
      <c r="CW104" s="5" t="b">
        <v>0</v>
      </c>
      <c r="CX104" s="5">
        <v>1</v>
      </c>
      <c r="CY104" s="5">
        <v>2</v>
      </c>
      <c r="CZ104" s="5" t="b">
        <v>0</v>
      </c>
      <c r="DA104" s="5" t="b">
        <v>0</v>
      </c>
      <c r="DB104" s="5" t="b">
        <v>0</v>
      </c>
      <c r="DC104" s="5" t="s">
        <v>166</v>
      </c>
      <c r="DD104" s="5" t="s">
        <v>167</v>
      </c>
      <c r="DE104" s="5" t="s">
        <v>168</v>
      </c>
      <c r="DF104" s="5">
        <v>0.5</v>
      </c>
      <c r="DG104" s="5">
        <v>10</v>
      </c>
      <c r="DH104" s="5">
        <v>0.3</v>
      </c>
      <c r="DI104" s="5">
        <v>1</v>
      </c>
      <c r="DJ104" s="5">
        <v>1</v>
      </c>
      <c r="DK104" s="5" t="s">
        <v>169</v>
      </c>
      <c r="DL104" s="5" t="b">
        <v>0</v>
      </c>
      <c r="DM104" s="5">
        <v>32</v>
      </c>
      <c r="DN104" s="5">
        <v>1</v>
      </c>
      <c r="DO104" s="5" t="s">
        <v>170</v>
      </c>
      <c r="DP104" s="5" t="s">
        <v>1107</v>
      </c>
      <c r="DQ104" s="5" t="s">
        <v>171</v>
      </c>
      <c r="DR104" s="5" t="s">
        <v>172</v>
      </c>
      <c r="DS104" s="7" t="str">
        <f>_xlfn.XLOOKUP(CP104,datasetmap!B:B,datasetmap!A:A)</f>
        <v>SRS2</v>
      </c>
      <c r="DT104" s="8">
        <f t="shared" si="1"/>
        <v>1.30070016</v>
      </c>
    </row>
    <row r="105" ht="17.6" spans="1:124">
      <c r="A105" s="5" t="s">
        <v>1109</v>
      </c>
      <c r="B105" s="5">
        <v>32</v>
      </c>
      <c r="C105" s="5" t="s">
        <v>141</v>
      </c>
      <c r="D105" s="5" t="s">
        <v>1110</v>
      </c>
      <c r="E105" s="5" t="s">
        <v>1111</v>
      </c>
      <c r="F105" s="5" t="s">
        <v>1112</v>
      </c>
      <c r="G105" s="6">
        <v>1.77892047764181e+18</v>
      </c>
      <c r="H105" s="5">
        <v>0.656700787810717</v>
      </c>
      <c r="I105" s="5">
        <v>0.648635095828445</v>
      </c>
      <c r="J105" s="5">
        <v>0.835388176</v>
      </c>
      <c r="K105" s="5">
        <v>0.656700787810717</v>
      </c>
      <c r="L105" s="6">
        <v>1.77892047764175e+18</v>
      </c>
      <c r="M105" s="5">
        <v>0.651532349602724</v>
      </c>
      <c r="N105" s="6">
        <v>1.77892054646816e+18</v>
      </c>
      <c r="O105" s="6">
        <v>1.77892017696852e+18</v>
      </c>
      <c r="P105" s="5">
        <v>63.724285518</v>
      </c>
      <c r="Q105" s="5">
        <v>0.25</v>
      </c>
      <c r="R105" s="5">
        <v>6</v>
      </c>
      <c r="S105" s="5" t="s">
        <v>145</v>
      </c>
      <c r="T105" s="5" t="s">
        <v>146</v>
      </c>
      <c r="U105" s="5" t="b">
        <v>0</v>
      </c>
      <c r="V105" s="5">
        <v>25</v>
      </c>
      <c r="W105" s="5">
        <v>0</v>
      </c>
      <c r="X105" s="5">
        <v>10</v>
      </c>
      <c r="Y105" s="5">
        <v>8</v>
      </c>
      <c r="Z105" s="5" t="b">
        <v>0</v>
      </c>
      <c r="AA105" s="5">
        <v>4</v>
      </c>
      <c r="AB105" s="5" t="b">
        <v>0</v>
      </c>
      <c r="AC105" s="5" t="b">
        <v>0</v>
      </c>
      <c r="AD105" s="5" t="s">
        <v>147</v>
      </c>
      <c r="AE105" s="5" t="s">
        <v>1113</v>
      </c>
      <c r="AF105" s="5">
        <v>1</v>
      </c>
      <c r="AG105" s="5" t="b">
        <v>0</v>
      </c>
      <c r="AH105" s="5" t="b">
        <v>0</v>
      </c>
      <c r="AI105" s="5" t="s">
        <v>149</v>
      </c>
      <c r="AJ105" s="5">
        <v>3</v>
      </c>
      <c r="AK105" s="5" t="b">
        <v>0</v>
      </c>
      <c r="AL105" s="5">
        <v>2</v>
      </c>
      <c r="AM105" s="5">
        <v>0</v>
      </c>
      <c r="AN105" s="5">
        <v>0</v>
      </c>
      <c r="AO105" s="5" t="b">
        <v>0</v>
      </c>
      <c r="AP105" s="5">
        <v>0.001</v>
      </c>
      <c r="AQ105" s="5">
        <v>256</v>
      </c>
      <c r="AR105" s="5" t="b">
        <v>1</v>
      </c>
      <c r="AS105" s="5">
        <v>1</v>
      </c>
      <c r="AT105" s="5">
        <v>3</v>
      </c>
      <c r="AU105" s="5">
        <v>0.1</v>
      </c>
      <c r="AV105" s="5">
        <v>0.1</v>
      </c>
      <c r="AW105" s="5" t="b">
        <v>0</v>
      </c>
      <c r="AX105" s="5">
        <v>32</v>
      </c>
      <c r="AY105" s="5">
        <v>2026</v>
      </c>
      <c r="AZ105" s="5">
        <v>1</v>
      </c>
      <c r="BA105" s="5">
        <v>16</v>
      </c>
      <c r="BB105" s="5" t="s">
        <v>189</v>
      </c>
      <c r="BC105" s="5" t="s">
        <v>151</v>
      </c>
      <c r="BD105" s="5">
        <v>10</v>
      </c>
      <c r="BE105" s="5" t="b">
        <v>0</v>
      </c>
      <c r="BF105" s="5" t="s">
        <v>152</v>
      </c>
      <c r="BG105" s="5" t="s">
        <v>1114</v>
      </c>
      <c r="BH105" s="5">
        <v>0</v>
      </c>
      <c r="BI105" s="5" t="s">
        <v>154</v>
      </c>
      <c r="BJ105" s="5">
        <v>2</v>
      </c>
      <c r="BK105" s="5"/>
      <c r="BL105" s="5" t="b">
        <v>0</v>
      </c>
      <c r="BM105" s="5">
        <v>0</v>
      </c>
      <c r="BN105" s="5">
        <v>0</v>
      </c>
      <c r="BO105" s="5" t="s">
        <v>155</v>
      </c>
      <c r="BP105" s="5">
        <v>128</v>
      </c>
      <c r="BQ105" s="5" t="s">
        <v>156</v>
      </c>
      <c r="BR105" s="5">
        <v>2</v>
      </c>
      <c r="BS105" s="5" t="s">
        <v>157</v>
      </c>
      <c r="BT105" s="5">
        <v>0</v>
      </c>
      <c r="BU105" s="5">
        <v>96</v>
      </c>
      <c r="BV105" s="5" t="b">
        <v>0</v>
      </c>
      <c r="BW105" s="5">
        <v>1000</v>
      </c>
      <c r="BX105" s="5">
        <v>0.3</v>
      </c>
      <c r="BY105" s="5" t="b">
        <v>0</v>
      </c>
      <c r="BZ105" s="5" t="s">
        <v>1115</v>
      </c>
      <c r="CA105" s="5" t="s">
        <v>13</v>
      </c>
      <c r="CB105" s="5" t="s">
        <v>1116</v>
      </c>
      <c r="CC105" s="5" t="s">
        <v>160</v>
      </c>
      <c r="CD105" s="5">
        <v>62</v>
      </c>
      <c r="CE105" s="5">
        <v>32</v>
      </c>
      <c r="CF105" s="5" t="b">
        <v>0</v>
      </c>
      <c r="CG105" s="5" t="s">
        <v>161</v>
      </c>
      <c r="CH105" s="5">
        <v>48</v>
      </c>
      <c r="CI105" s="5">
        <v>1</v>
      </c>
      <c r="CJ105" s="5">
        <v>0.25</v>
      </c>
      <c r="CK105" s="5">
        <v>7</v>
      </c>
      <c r="CL105" s="5" t="s">
        <v>1117</v>
      </c>
      <c r="CM105" s="5">
        <v>7</v>
      </c>
      <c r="CN105" s="5" t="s">
        <v>163</v>
      </c>
      <c r="CO105" s="5">
        <v>0</v>
      </c>
      <c r="CP105" s="5" t="s">
        <v>194</v>
      </c>
      <c r="CQ105" s="5" t="s">
        <v>164</v>
      </c>
      <c r="CR105" s="5" t="s">
        <v>1114</v>
      </c>
      <c r="CS105" s="5">
        <v>144</v>
      </c>
      <c r="CT105" s="5" t="b">
        <v>0</v>
      </c>
      <c r="CU105" s="5" t="s">
        <v>165</v>
      </c>
      <c r="CV105" s="5" t="b">
        <v>1</v>
      </c>
      <c r="CW105" s="5" t="b">
        <v>0</v>
      </c>
      <c r="CX105" s="5">
        <v>1</v>
      </c>
      <c r="CY105" s="5">
        <v>2</v>
      </c>
      <c r="CZ105" s="5" t="b">
        <v>0</v>
      </c>
      <c r="DA105" s="5" t="b">
        <v>0</v>
      </c>
      <c r="DB105" s="5" t="b">
        <v>0</v>
      </c>
      <c r="DC105" s="5" t="s">
        <v>166</v>
      </c>
      <c r="DD105" s="5" t="s">
        <v>167</v>
      </c>
      <c r="DE105" s="5" t="s">
        <v>168</v>
      </c>
      <c r="DF105" s="5">
        <v>0.5</v>
      </c>
      <c r="DG105" s="5">
        <v>10</v>
      </c>
      <c r="DH105" s="5">
        <v>0.3</v>
      </c>
      <c r="DI105" s="5">
        <v>1</v>
      </c>
      <c r="DJ105" s="5">
        <v>1</v>
      </c>
      <c r="DK105" s="5" t="s">
        <v>169</v>
      </c>
      <c r="DL105" s="5" t="b">
        <v>0</v>
      </c>
      <c r="DM105" s="5">
        <v>32</v>
      </c>
      <c r="DN105" s="5">
        <v>1</v>
      </c>
      <c r="DO105" s="5" t="s">
        <v>170</v>
      </c>
      <c r="DP105" s="5" t="s">
        <v>1116</v>
      </c>
      <c r="DQ105" s="5" t="s">
        <v>171</v>
      </c>
      <c r="DR105" s="5" t="s">
        <v>172</v>
      </c>
      <c r="DS105" s="7" t="str">
        <f>_xlfn.XLOOKUP(CP105,datasetmap!B:B,datasetmap!A:A)</f>
        <v>FD</v>
      </c>
      <c r="DT105" s="8">
        <f t="shared" si="1"/>
        <v>68.82635008</v>
      </c>
    </row>
    <row r="106" ht="17.6" spans="1:124">
      <c r="A106" s="5" t="s">
        <v>1118</v>
      </c>
      <c r="B106" s="5">
        <v>32</v>
      </c>
      <c r="C106" s="5" t="s">
        <v>141</v>
      </c>
      <c r="D106" s="5" t="s">
        <v>1119</v>
      </c>
      <c r="E106" s="5" t="s">
        <v>1120</v>
      </c>
      <c r="F106" s="5" t="s">
        <v>1121</v>
      </c>
      <c r="G106" s="6">
        <v>1.77892053604582e+18</v>
      </c>
      <c r="H106" s="5">
        <v>0.895464890226087</v>
      </c>
      <c r="I106" s="5">
        <v>0.890437782319893</v>
      </c>
      <c r="J106" s="5">
        <v>0.461335468</v>
      </c>
      <c r="K106" s="5">
        <v>0.895464890226087</v>
      </c>
      <c r="L106" s="6">
        <v>1.77892053604574e+18</v>
      </c>
      <c r="M106" s="5">
        <v>0.890784982935153</v>
      </c>
      <c r="N106" s="6">
        <v>1.77892053719636e+18</v>
      </c>
      <c r="O106" s="6">
        <v>1.77892051505463e+18</v>
      </c>
      <c r="P106" s="5">
        <v>18.79572676</v>
      </c>
      <c r="Q106" s="5">
        <v>0.25</v>
      </c>
      <c r="R106" s="5">
        <v>6</v>
      </c>
      <c r="S106" s="5" t="s">
        <v>145</v>
      </c>
      <c r="T106" s="5" t="s">
        <v>146</v>
      </c>
      <c r="U106" s="5" t="b">
        <v>0</v>
      </c>
      <c r="V106" s="5">
        <v>25</v>
      </c>
      <c r="W106" s="5">
        <v>0</v>
      </c>
      <c r="X106" s="5">
        <v>10</v>
      </c>
      <c r="Y106" s="5">
        <v>8</v>
      </c>
      <c r="Z106" s="5" t="b">
        <v>0</v>
      </c>
      <c r="AA106" s="5">
        <v>4</v>
      </c>
      <c r="AB106" s="5" t="b">
        <v>0</v>
      </c>
      <c r="AC106" s="5" t="b">
        <v>0</v>
      </c>
      <c r="AD106" s="5" t="s">
        <v>147</v>
      </c>
      <c r="AE106" s="5" t="s">
        <v>1122</v>
      </c>
      <c r="AF106" s="5">
        <v>1</v>
      </c>
      <c r="AG106" s="5" t="b">
        <v>0</v>
      </c>
      <c r="AH106" s="5" t="b">
        <v>0</v>
      </c>
      <c r="AI106" s="5" t="s">
        <v>149</v>
      </c>
      <c r="AJ106" s="5">
        <v>3</v>
      </c>
      <c r="AK106" s="5" t="b">
        <v>0</v>
      </c>
      <c r="AL106" s="5">
        <v>2</v>
      </c>
      <c r="AM106" s="5">
        <v>0</v>
      </c>
      <c r="AN106" s="5">
        <v>0</v>
      </c>
      <c r="AO106" s="5" t="b">
        <v>0</v>
      </c>
      <c r="AP106" s="5">
        <v>0.001</v>
      </c>
      <c r="AQ106" s="5">
        <v>256</v>
      </c>
      <c r="AR106" s="5" t="b">
        <v>1</v>
      </c>
      <c r="AS106" s="5">
        <v>1</v>
      </c>
      <c r="AT106" s="5">
        <v>3</v>
      </c>
      <c r="AU106" s="5">
        <v>0.1</v>
      </c>
      <c r="AV106" s="5">
        <v>0.1</v>
      </c>
      <c r="AW106" s="5" t="b">
        <v>0</v>
      </c>
      <c r="AX106" s="5">
        <v>32</v>
      </c>
      <c r="AY106" s="5">
        <v>2026</v>
      </c>
      <c r="AZ106" s="5">
        <v>1</v>
      </c>
      <c r="BA106" s="5">
        <v>16</v>
      </c>
      <c r="BB106" s="5" t="s">
        <v>211</v>
      </c>
      <c r="BC106" s="5" t="s">
        <v>151</v>
      </c>
      <c r="BD106" s="5">
        <v>10</v>
      </c>
      <c r="BE106" s="5" t="b">
        <v>0</v>
      </c>
      <c r="BF106" s="5" t="s">
        <v>152</v>
      </c>
      <c r="BG106" s="5" t="s">
        <v>1123</v>
      </c>
      <c r="BH106" s="5">
        <v>0</v>
      </c>
      <c r="BI106" s="5" t="s">
        <v>154</v>
      </c>
      <c r="BJ106" s="5">
        <v>2</v>
      </c>
      <c r="BK106" s="5"/>
      <c r="BL106" s="5" t="b">
        <v>0</v>
      </c>
      <c r="BM106" s="5">
        <v>0</v>
      </c>
      <c r="BN106" s="5">
        <v>0</v>
      </c>
      <c r="BO106" s="5" t="s">
        <v>155</v>
      </c>
      <c r="BP106" s="5">
        <v>128</v>
      </c>
      <c r="BQ106" s="5" t="s">
        <v>156</v>
      </c>
      <c r="BR106" s="5">
        <v>2</v>
      </c>
      <c r="BS106" s="5" t="s">
        <v>157</v>
      </c>
      <c r="BT106" s="5">
        <v>0</v>
      </c>
      <c r="BU106" s="5">
        <v>96</v>
      </c>
      <c r="BV106" s="5" t="b">
        <v>0</v>
      </c>
      <c r="BW106" s="5">
        <v>1000</v>
      </c>
      <c r="BX106" s="5">
        <v>0.3</v>
      </c>
      <c r="BY106" s="5" t="b">
        <v>0</v>
      </c>
      <c r="BZ106" s="5" t="s">
        <v>1124</v>
      </c>
      <c r="CA106" s="5" t="s">
        <v>13</v>
      </c>
      <c r="CB106" s="5" t="s">
        <v>1125</v>
      </c>
      <c r="CC106" s="5" t="s">
        <v>160</v>
      </c>
      <c r="CD106" s="5">
        <v>896</v>
      </c>
      <c r="CE106" s="5">
        <v>32</v>
      </c>
      <c r="CF106" s="5" t="b">
        <v>0</v>
      </c>
      <c r="CG106" s="5" t="s">
        <v>161</v>
      </c>
      <c r="CH106" s="5">
        <v>48</v>
      </c>
      <c r="CI106" s="5">
        <v>1</v>
      </c>
      <c r="CJ106" s="5">
        <v>0.25</v>
      </c>
      <c r="CK106" s="5">
        <v>7</v>
      </c>
      <c r="CL106" s="5" t="s">
        <v>1126</v>
      </c>
      <c r="CM106" s="5">
        <v>7</v>
      </c>
      <c r="CN106" s="5" t="s">
        <v>163</v>
      </c>
      <c r="CO106" s="5">
        <v>0</v>
      </c>
      <c r="CP106" s="5" t="s">
        <v>216</v>
      </c>
      <c r="CQ106" s="5" t="s">
        <v>164</v>
      </c>
      <c r="CR106" s="5" t="s">
        <v>1123</v>
      </c>
      <c r="CS106" s="5">
        <v>6</v>
      </c>
      <c r="CT106" s="5" t="b">
        <v>0</v>
      </c>
      <c r="CU106" s="5" t="s">
        <v>165</v>
      </c>
      <c r="CV106" s="5" t="b">
        <v>1</v>
      </c>
      <c r="CW106" s="5" t="b">
        <v>0</v>
      </c>
      <c r="CX106" s="5">
        <v>1</v>
      </c>
      <c r="CY106" s="5">
        <v>2</v>
      </c>
      <c r="CZ106" s="5" t="b">
        <v>0</v>
      </c>
      <c r="DA106" s="5" t="b">
        <v>0</v>
      </c>
      <c r="DB106" s="5" t="b">
        <v>0</v>
      </c>
      <c r="DC106" s="5" t="s">
        <v>166</v>
      </c>
      <c r="DD106" s="5" t="s">
        <v>167</v>
      </c>
      <c r="DE106" s="5" t="s">
        <v>168</v>
      </c>
      <c r="DF106" s="5">
        <v>0.5</v>
      </c>
      <c r="DG106" s="5">
        <v>10</v>
      </c>
      <c r="DH106" s="5">
        <v>0.3</v>
      </c>
      <c r="DI106" s="5">
        <v>1</v>
      </c>
      <c r="DJ106" s="5">
        <v>1</v>
      </c>
      <c r="DK106" s="5" t="s">
        <v>169</v>
      </c>
      <c r="DL106" s="5" t="b">
        <v>0</v>
      </c>
      <c r="DM106" s="5">
        <v>32</v>
      </c>
      <c r="DN106" s="5">
        <v>1</v>
      </c>
      <c r="DO106" s="5" t="s">
        <v>170</v>
      </c>
      <c r="DP106" s="5" t="s">
        <v>1125</v>
      </c>
      <c r="DQ106" s="5" t="s">
        <v>171</v>
      </c>
      <c r="DR106" s="5" t="s">
        <v>172</v>
      </c>
      <c r="DS106" s="7" t="str">
        <f>_xlfn.XLOOKUP(CP106,datasetmap!B:B,datasetmap!A:A)</f>
        <v>SRS1</v>
      </c>
      <c r="DT106" s="8">
        <f t="shared" si="1"/>
        <v>1.150540032</v>
      </c>
    </row>
    <row r="107" ht="17.6" spans="1:124">
      <c r="A107" s="5" t="s">
        <v>1127</v>
      </c>
      <c r="B107" s="5">
        <v>32</v>
      </c>
      <c r="C107" s="5" t="s">
        <v>141</v>
      </c>
      <c r="D107" s="5" t="s">
        <v>1128</v>
      </c>
      <c r="E107" s="5" t="s">
        <v>1129</v>
      </c>
      <c r="F107" s="5" t="s">
        <v>1130</v>
      </c>
      <c r="G107" s="6">
        <v>1.77892049518182e+18</v>
      </c>
      <c r="H107" s="5">
        <v>0.974203067702875</v>
      </c>
      <c r="I107" s="5">
        <v>0.97317720617879</v>
      </c>
      <c r="J107" s="5">
        <v>0.471772161</v>
      </c>
      <c r="K107" s="5">
        <v>0.974203067702875</v>
      </c>
      <c r="L107" s="6">
        <v>1.77892049518174e+18</v>
      </c>
      <c r="M107" s="5">
        <v>0.972972972972973</v>
      </c>
      <c r="N107" s="6">
        <v>1.77892049643653e+18</v>
      </c>
      <c r="O107" s="6">
        <v>1.77892045239034e+18</v>
      </c>
      <c r="P107" s="5">
        <v>40.942331961</v>
      </c>
      <c r="Q107" s="5">
        <v>0.25</v>
      </c>
      <c r="R107" s="5">
        <v>6</v>
      </c>
      <c r="S107" s="5" t="s">
        <v>145</v>
      </c>
      <c r="T107" s="5" t="s">
        <v>146</v>
      </c>
      <c r="U107" s="5" t="b">
        <v>0</v>
      </c>
      <c r="V107" s="5">
        <v>25</v>
      </c>
      <c r="W107" s="5">
        <v>0</v>
      </c>
      <c r="X107" s="5">
        <v>10</v>
      </c>
      <c r="Y107" s="5">
        <v>8</v>
      </c>
      <c r="Z107" s="5" t="b">
        <v>0</v>
      </c>
      <c r="AA107" s="5">
        <v>4</v>
      </c>
      <c r="AB107" s="5" t="b">
        <v>0</v>
      </c>
      <c r="AC107" s="5" t="b">
        <v>0</v>
      </c>
      <c r="AD107" s="5" t="s">
        <v>147</v>
      </c>
      <c r="AE107" s="5" t="s">
        <v>1131</v>
      </c>
      <c r="AF107" s="5">
        <v>1</v>
      </c>
      <c r="AG107" s="5" t="b">
        <v>0</v>
      </c>
      <c r="AH107" s="5" t="b">
        <v>0</v>
      </c>
      <c r="AI107" s="5" t="s">
        <v>149</v>
      </c>
      <c r="AJ107" s="5">
        <v>3</v>
      </c>
      <c r="AK107" s="5" t="b">
        <v>0</v>
      </c>
      <c r="AL107" s="5">
        <v>9</v>
      </c>
      <c r="AM107" s="5">
        <v>0</v>
      </c>
      <c r="AN107" s="5">
        <v>0</v>
      </c>
      <c r="AO107" s="5" t="b">
        <v>0</v>
      </c>
      <c r="AP107" s="5">
        <v>0.001</v>
      </c>
      <c r="AQ107" s="5">
        <v>256</v>
      </c>
      <c r="AR107" s="5" t="b">
        <v>1</v>
      </c>
      <c r="AS107" s="5">
        <v>1</v>
      </c>
      <c r="AT107" s="5">
        <v>3</v>
      </c>
      <c r="AU107" s="5">
        <v>0.1</v>
      </c>
      <c r="AV107" s="5">
        <v>0.1</v>
      </c>
      <c r="AW107" s="5" t="b">
        <v>0</v>
      </c>
      <c r="AX107" s="5">
        <v>32</v>
      </c>
      <c r="AY107" s="5">
        <v>2026</v>
      </c>
      <c r="AZ107" s="5">
        <v>1</v>
      </c>
      <c r="BA107" s="5">
        <v>16</v>
      </c>
      <c r="BB107" s="5" t="s">
        <v>222</v>
      </c>
      <c r="BC107" s="5" t="s">
        <v>151</v>
      </c>
      <c r="BD107" s="5">
        <v>10</v>
      </c>
      <c r="BE107" s="5" t="b">
        <v>0</v>
      </c>
      <c r="BF107" s="5" t="s">
        <v>152</v>
      </c>
      <c r="BG107" s="5" t="s">
        <v>1132</v>
      </c>
      <c r="BH107" s="5">
        <v>0</v>
      </c>
      <c r="BI107" s="5" t="s">
        <v>154</v>
      </c>
      <c r="BJ107" s="5">
        <v>2</v>
      </c>
      <c r="BK107" s="5"/>
      <c r="BL107" s="5" t="b">
        <v>0</v>
      </c>
      <c r="BM107" s="5">
        <v>0</v>
      </c>
      <c r="BN107" s="5">
        <v>0</v>
      </c>
      <c r="BO107" s="5" t="s">
        <v>155</v>
      </c>
      <c r="BP107" s="5">
        <v>128</v>
      </c>
      <c r="BQ107" s="5" t="s">
        <v>156</v>
      </c>
      <c r="BR107" s="5">
        <v>2</v>
      </c>
      <c r="BS107" s="5" t="s">
        <v>157</v>
      </c>
      <c r="BT107" s="5">
        <v>0</v>
      </c>
      <c r="BU107" s="5">
        <v>96</v>
      </c>
      <c r="BV107" s="5" t="b">
        <v>0</v>
      </c>
      <c r="BW107" s="5">
        <v>1000</v>
      </c>
      <c r="BX107" s="5">
        <v>0.3</v>
      </c>
      <c r="BY107" s="5" t="b">
        <v>0</v>
      </c>
      <c r="BZ107" s="5" t="s">
        <v>1133</v>
      </c>
      <c r="CA107" s="5" t="s">
        <v>13</v>
      </c>
      <c r="CB107" s="5" t="s">
        <v>1134</v>
      </c>
      <c r="CC107" s="5" t="s">
        <v>160</v>
      </c>
      <c r="CD107" s="5">
        <v>29</v>
      </c>
      <c r="CE107" s="5">
        <v>32</v>
      </c>
      <c r="CF107" s="5" t="b">
        <v>0</v>
      </c>
      <c r="CG107" s="5" t="s">
        <v>161</v>
      </c>
      <c r="CH107" s="5">
        <v>48</v>
      </c>
      <c r="CI107" s="5">
        <v>1</v>
      </c>
      <c r="CJ107" s="5">
        <v>0.25</v>
      </c>
      <c r="CK107" s="5">
        <v>7</v>
      </c>
      <c r="CL107" s="5" t="s">
        <v>1135</v>
      </c>
      <c r="CM107" s="5">
        <v>7</v>
      </c>
      <c r="CN107" s="5" t="s">
        <v>163</v>
      </c>
      <c r="CO107" s="5">
        <v>0</v>
      </c>
      <c r="CP107" s="5" t="s">
        <v>227</v>
      </c>
      <c r="CQ107" s="5" t="s">
        <v>164</v>
      </c>
      <c r="CR107" s="5" t="s">
        <v>1132</v>
      </c>
      <c r="CS107" s="5">
        <v>12</v>
      </c>
      <c r="CT107" s="5" t="b">
        <v>0</v>
      </c>
      <c r="CU107" s="5" t="s">
        <v>165</v>
      </c>
      <c r="CV107" s="5" t="b">
        <v>1</v>
      </c>
      <c r="CW107" s="5" t="b">
        <v>0</v>
      </c>
      <c r="CX107" s="5">
        <v>1</v>
      </c>
      <c r="CY107" s="5">
        <v>2</v>
      </c>
      <c r="CZ107" s="5" t="b">
        <v>0</v>
      </c>
      <c r="DA107" s="5" t="b">
        <v>0</v>
      </c>
      <c r="DB107" s="5" t="b">
        <v>0</v>
      </c>
      <c r="DC107" s="5" t="s">
        <v>166</v>
      </c>
      <c r="DD107" s="5" t="s">
        <v>167</v>
      </c>
      <c r="DE107" s="5" t="s">
        <v>168</v>
      </c>
      <c r="DF107" s="5">
        <v>0.5</v>
      </c>
      <c r="DG107" s="5">
        <v>10</v>
      </c>
      <c r="DH107" s="5">
        <v>0.3</v>
      </c>
      <c r="DI107" s="5">
        <v>1</v>
      </c>
      <c r="DJ107" s="5">
        <v>1</v>
      </c>
      <c r="DK107" s="5" t="s">
        <v>169</v>
      </c>
      <c r="DL107" s="5" t="b">
        <v>0</v>
      </c>
      <c r="DM107" s="5">
        <v>32</v>
      </c>
      <c r="DN107" s="5">
        <v>1</v>
      </c>
      <c r="DO107" s="5" t="s">
        <v>170</v>
      </c>
      <c r="DP107" s="5" t="s">
        <v>1134</v>
      </c>
      <c r="DQ107" s="5" t="s">
        <v>171</v>
      </c>
      <c r="DR107" s="5" t="s">
        <v>172</v>
      </c>
      <c r="DS107" s="7" t="str">
        <f>_xlfn.XLOOKUP(CP107,datasetmap!B:B,datasetmap!A:A)</f>
        <v>JV</v>
      </c>
      <c r="DT107" s="8">
        <f t="shared" si="1"/>
        <v>1.254710016</v>
      </c>
    </row>
    <row r="108" ht="17.6" spans="1:124">
      <c r="A108" s="5" t="s">
        <v>1136</v>
      </c>
      <c r="B108" s="5">
        <v>32</v>
      </c>
      <c r="C108" s="5" t="s">
        <v>141</v>
      </c>
      <c r="D108" s="5" t="s">
        <v>1137</v>
      </c>
      <c r="E108" s="5" t="s">
        <v>1138</v>
      </c>
      <c r="F108" s="5" t="s">
        <v>1139</v>
      </c>
      <c r="G108" s="6">
        <v>1.7789202191398e+18</v>
      </c>
      <c r="H108" s="5">
        <v>0.76410569105691</v>
      </c>
      <c r="I108" s="5">
        <v>0.766781568503232</v>
      </c>
      <c r="J108" s="5">
        <v>0.475106336</v>
      </c>
      <c r="K108" s="5">
        <v>0.76410569105691</v>
      </c>
      <c r="L108" s="6">
        <v>1.77892021913974e+18</v>
      </c>
      <c r="M108" s="5">
        <v>0.775609756097561</v>
      </c>
      <c r="N108" s="6">
        <v>1.77892022239408e+18</v>
      </c>
      <c r="O108" s="6">
        <v>1.7789201761664e+18</v>
      </c>
      <c r="P108" s="5">
        <v>34.395590353</v>
      </c>
      <c r="Q108" s="5">
        <v>0.25</v>
      </c>
      <c r="R108" s="5">
        <v>6</v>
      </c>
      <c r="S108" s="5" t="s">
        <v>145</v>
      </c>
      <c r="T108" s="5" t="s">
        <v>146</v>
      </c>
      <c r="U108" s="5" t="b">
        <v>0</v>
      </c>
      <c r="V108" s="5">
        <v>25</v>
      </c>
      <c r="W108" s="5">
        <v>0</v>
      </c>
      <c r="X108" s="5">
        <v>10</v>
      </c>
      <c r="Y108" s="5">
        <v>8</v>
      </c>
      <c r="Z108" s="5" t="b">
        <v>0</v>
      </c>
      <c r="AA108" s="5">
        <v>4</v>
      </c>
      <c r="AB108" s="5" t="b">
        <v>0</v>
      </c>
      <c r="AC108" s="5" t="b">
        <v>0</v>
      </c>
      <c r="AD108" s="5" t="s">
        <v>147</v>
      </c>
      <c r="AE108" s="5" t="s">
        <v>1140</v>
      </c>
      <c r="AF108" s="5">
        <v>1</v>
      </c>
      <c r="AG108" s="5" t="b">
        <v>0</v>
      </c>
      <c r="AH108" s="5" t="b">
        <v>0</v>
      </c>
      <c r="AI108" s="5" t="s">
        <v>149</v>
      </c>
      <c r="AJ108" s="5">
        <v>3</v>
      </c>
      <c r="AK108" s="5" t="b">
        <v>0</v>
      </c>
      <c r="AL108" s="5">
        <v>2</v>
      </c>
      <c r="AM108" s="5">
        <v>0</v>
      </c>
      <c r="AN108" s="5">
        <v>0</v>
      </c>
      <c r="AO108" s="5" t="b">
        <v>0</v>
      </c>
      <c r="AP108" s="5">
        <v>0.001</v>
      </c>
      <c r="AQ108" s="5">
        <v>256</v>
      </c>
      <c r="AR108" s="5" t="b">
        <v>1</v>
      </c>
      <c r="AS108" s="5">
        <v>1</v>
      </c>
      <c r="AT108" s="5">
        <v>3</v>
      </c>
      <c r="AU108" s="5">
        <v>0.1</v>
      </c>
      <c r="AV108" s="5">
        <v>0.1</v>
      </c>
      <c r="AW108" s="5" t="b">
        <v>0</v>
      </c>
      <c r="AX108" s="5">
        <v>32</v>
      </c>
      <c r="AY108" s="5">
        <v>2026</v>
      </c>
      <c r="AZ108" s="5">
        <v>1</v>
      </c>
      <c r="BA108" s="5">
        <v>16</v>
      </c>
      <c r="BB108" s="5" t="s">
        <v>233</v>
      </c>
      <c r="BC108" s="5" t="s">
        <v>151</v>
      </c>
      <c r="BD108" s="5">
        <v>10</v>
      </c>
      <c r="BE108" s="5" t="b">
        <v>0</v>
      </c>
      <c r="BF108" s="5" t="s">
        <v>152</v>
      </c>
      <c r="BG108" s="5" t="s">
        <v>1141</v>
      </c>
      <c r="BH108" s="5">
        <v>0</v>
      </c>
      <c r="BI108" s="5" t="s">
        <v>154</v>
      </c>
      <c r="BJ108" s="5">
        <v>2</v>
      </c>
      <c r="BK108" s="5"/>
      <c r="BL108" s="5" t="b">
        <v>0</v>
      </c>
      <c r="BM108" s="5">
        <v>0</v>
      </c>
      <c r="BN108" s="5">
        <v>0</v>
      </c>
      <c r="BO108" s="5" t="s">
        <v>155</v>
      </c>
      <c r="BP108" s="5">
        <v>128</v>
      </c>
      <c r="BQ108" s="5" t="s">
        <v>156</v>
      </c>
      <c r="BR108" s="5">
        <v>2</v>
      </c>
      <c r="BS108" s="5" t="s">
        <v>157</v>
      </c>
      <c r="BT108" s="5">
        <v>0</v>
      </c>
      <c r="BU108" s="5">
        <v>96</v>
      </c>
      <c r="BV108" s="5" t="b">
        <v>0</v>
      </c>
      <c r="BW108" s="5">
        <v>1000</v>
      </c>
      <c r="BX108" s="5">
        <v>0.3</v>
      </c>
      <c r="BY108" s="5" t="b">
        <v>0</v>
      </c>
      <c r="BZ108" s="5" t="s">
        <v>1142</v>
      </c>
      <c r="CA108" s="5" t="s">
        <v>13</v>
      </c>
      <c r="CB108" s="5" t="s">
        <v>1143</v>
      </c>
      <c r="CC108" s="5" t="s">
        <v>160</v>
      </c>
      <c r="CD108" s="5">
        <v>405</v>
      </c>
      <c r="CE108" s="5">
        <v>32</v>
      </c>
      <c r="CF108" s="5" t="b">
        <v>0</v>
      </c>
      <c r="CG108" s="5" t="s">
        <v>161</v>
      </c>
      <c r="CH108" s="5">
        <v>48</v>
      </c>
      <c r="CI108" s="5">
        <v>1</v>
      </c>
      <c r="CJ108" s="5">
        <v>0.25</v>
      </c>
      <c r="CK108" s="5">
        <v>7</v>
      </c>
      <c r="CL108" s="5" t="s">
        <v>1144</v>
      </c>
      <c r="CM108" s="5">
        <v>7</v>
      </c>
      <c r="CN108" s="5" t="s">
        <v>163</v>
      </c>
      <c r="CO108" s="5">
        <v>0</v>
      </c>
      <c r="CP108" s="5" t="s">
        <v>238</v>
      </c>
      <c r="CQ108" s="5" t="s">
        <v>164</v>
      </c>
      <c r="CR108" s="5" t="s">
        <v>1141</v>
      </c>
      <c r="CS108" s="5">
        <v>61</v>
      </c>
      <c r="CT108" s="5" t="b">
        <v>0</v>
      </c>
      <c r="CU108" s="5" t="s">
        <v>165</v>
      </c>
      <c r="CV108" s="5" t="b">
        <v>1</v>
      </c>
      <c r="CW108" s="5" t="b">
        <v>0</v>
      </c>
      <c r="CX108" s="5">
        <v>1</v>
      </c>
      <c r="CY108" s="5">
        <v>2</v>
      </c>
      <c r="CZ108" s="5" t="b">
        <v>0</v>
      </c>
      <c r="DA108" s="5" t="b">
        <v>0</v>
      </c>
      <c r="DB108" s="5" t="b">
        <v>0</v>
      </c>
      <c r="DC108" s="5" t="s">
        <v>166</v>
      </c>
      <c r="DD108" s="5" t="s">
        <v>167</v>
      </c>
      <c r="DE108" s="5" t="s">
        <v>168</v>
      </c>
      <c r="DF108" s="5">
        <v>0.5</v>
      </c>
      <c r="DG108" s="5">
        <v>10</v>
      </c>
      <c r="DH108" s="5">
        <v>0.3</v>
      </c>
      <c r="DI108" s="5">
        <v>1</v>
      </c>
      <c r="DJ108" s="5">
        <v>1</v>
      </c>
      <c r="DK108" s="5" t="s">
        <v>169</v>
      </c>
      <c r="DL108" s="5" t="b">
        <v>0</v>
      </c>
      <c r="DM108" s="5">
        <v>32</v>
      </c>
      <c r="DN108" s="5">
        <v>1</v>
      </c>
      <c r="DO108" s="5" t="s">
        <v>170</v>
      </c>
      <c r="DP108" s="5" t="s">
        <v>1143</v>
      </c>
      <c r="DQ108" s="5" t="s">
        <v>171</v>
      </c>
      <c r="DR108" s="5" t="s">
        <v>172</v>
      </c>
      <c r="DS108" s="7" t="str">
        <f>_xlfn.XLOOKUP(CP108,datasetmap!B:B,datasetmap!A:A)</f>
        <v>HB</v>
      </c>
      <c r="DT108" s="8">
        <f t="shared" si="1"/>
        <v>3.254279936</v>
      </c>
    </row>
    <row r="109" ht="17.6" spans="1:124">
      <c r="A109" s="5" t="s">
        <v>1145</v>
      </c>
      <c r="B109" s="5">
        <v>32</v>
      </c>
      <c r="C109" s="5" t="s">
        <v>141</v>
      </c>
      <c r="D109" s="5" t="s">
        <v>1146</v>
      </c>
      <c r="E109" s="5" t="s">
        <v>1147</v>
      </c>
      <c r="F109" s="5" t="s">
        <v>1148</v>
      </c>
      <c r="G109" s="6">
        <v>1.77892014499918e+18</v>
      </c>
      <c r="H109" s="5">
        <v>0.481206895342939</v>
      </c>
      <c r="I109" s="5">
        <v>0.437578163626433</v>
      </c>
      <c r="J109" s="5">
        <v>0.466566908</v>
      </c>
      <c r="K109" s="5">
        <v>0.481206895342939</v>
      </c>
      <c r="L109" s="6">
        <v>1.77892014499911e+18</v>
      </c>
      <c r="M109" s="5">
        <v>0.464705882352941</v>
      </c>
      <c r="N109" s="6">
        <v>1.77892014635961e+18</v>
      </c>
      <c r="O109" s="6">
        <v>1.77892004520258e+18</v>
      </c>
      <c r="P109" s="5">
        <v>98.170915956</v>
      </c>
      <c r="Q109" s="5">
        <v>0.25</v>
      </c>
      <c r="R109" s="5">
        <v>6</v>
      </c>
      <c r="S109" s="5" t="s">
        <v>145</v>
      </c>
      <c r="T109" s="5" t="s">
        <v>146</v>
      </c>
      <c r="U109" s="5" t="b">
        <v>0</v>
      </c>
      <c r="V109" s="5">
        <v>25</v>
      </c>
      <c r="W109" s="5">
        <v>0</v>
      </c>
      <c r="X109" s="5">
        <v>10</v>
      </c>
      <c r="Y109" s="5">
        <v>8</v>
      </c>
      <c r="Z109" s="5" t="b">
        <v>0</v>
      </c>
      <c r="AA109" s="5">
        <v>4</v>
      </c>
      <c r="AB109" s="5" t="b">
        <v>0</v>
      </c>
      <c r="AC109" s="5" t="b">
        <v>0</v>
      </c>
      <c r="AD109" s="5" t="s">
        <v>147</v>
      </c>
      <c r="AE109" s="5" t="s">
        <v>1149</v>
      </c>
      <c r="AF109" s="5">
        <v>1</v>
      </c>
      <c r="AG109" s="5" t="b">
        <v>0</v>
      </c>
      <c r="AH109" s="5" t="b">
        <v>0</v>
      </c>
      <c r="AI109" s="5" t="s">
        <v>149</v>
      </c>
      <c r="AJ109" s="5">
        <v>3</v>
      </c>
      <c r="AK109" s="5" t="b">
        <v>0</v>
      </c>
      <c r="AL109" s="5">
        <v>26</v>
      </c>
      <c r="AM109" s="5">
        <v>0</v>
      </c>
      <c r="AN109" s="5">
        <v>0</v>
      </c>
      <c r="AO109" s="5" t="b">
        <v>0</v>
      </c>
      <c r="AP109" s="5">
        <v>0.001</v>
      </c>
      <c r="AQ109" s="5">
        <v>256</v>
      </c>
      <c r="AR109" s="5" t="b">
        <v>1</v>
      </c>
      <c r="AS109" s="5">
        <v>1</v>
      </c>
      <c r="AT109" s="5">
        <v>3</v>
      </c>
      <c r="AU109" s="5">
        <v>0.1</v>
      </c>
      <c r="AV109" s="5">
        <v>0.1</v>
      </c>
      <c r="AW109" s="5" t="b">
        <v>0</v>
      </c>
      <c r="AX109" s="5">
        <v>32</v>
      </c>
      <c r="AY109" s="5">
        <v>2026</v>
      </c>
      <c r="AZ109" s="5">
        <v>1</v>
      </c>
      <c r="BA109" s="5">
        <v>16</v>
      </c>
      <c r="BB109" s="5" t="s">
        <v>244</v>
      </c>
      <c r="BC109" s="5" t="s">
        <v>151</v>
      </c>
      <c r="BD109" s="5">
        <v>10</v>
      </c>
      <c r="BE109" s="5" t="b">
        <v>0</v>
      </c>
      <c r="BF109" s="5" t="s">
        <v>152</v>
      </c>
      <c r="BG109" s="5" t="s">
        <v>1150</v>
      </c>
      <c r="BH109" s="5">
        <v>0</v>
      </c>
      <c r="BI109" s="5" t="s">
        <v>154</v>
      </c>
      <c r="BJ109" s="5">
        <v>2</v>
      </c>
      <c r="BK109" s="5"/>
      <c r="BL109" s="5" t="b">
        <v>0</v>
      </c>
      <c r="BM109" s="5">
        <v>0</v>
      </c>
      <c r="BN109" s="5">
        <v>0</v>
      </c>
      <c r="BO109" s="5" t="s">
        <v>155</v>
      </c>
      <c r="BP109" s="5">
        <v>128</v>
      </c>
      <c r="BQ109" s="5" t="s">
        <v>156</v>
      </c>
      <c r="BR109" s="5">
        <v>2</v>
      </c>
      <c r="BS109" s="5" t="s">
        <v>157</v>
      </c>
      <c r="BT109" s="5">
        <v>0</v>
      </c>
      <c r="BU109" s="5">
        <v>96</v>
      </c>
      <c r="BV109" s="5" t="b">
        <v>0</v>
      </c>
      <c r="BW109" s="5">
        <v>1000</v>
      </c>
      <c r="BX109" s="5">
        <v>0.3</v>
      </c>
      <c r="BY109" s="5" t="b">
        <v>0</v>
      </c>
      <c r="BZ109" s="5" t="s">
        <v>1151</v>
      </c>
      <c r="CA109" s="5" t="s">
        <v>13</v>
      </c>
      <c r="CB109" s="5" t="s">
        <v>1152</v>
      </c>
      <c r="CC109" s="5" t="s">
        <v>160</v>
      </c>
      <c r="CD109" s="5">
        <v>152</v>
      </c>
      <c r="CE109" s="5">
        <v>32</v>
      </c>
      <c r="CF109" s="5" t="b">
        <v>0</v>
      </c>
      <c r="CG109" s="5" t="s">
        <v>161</v>
      </c>
      <c r="CH109" s="5">
        <v>48</v>
      </c>
      <c r="CI109" s="5">
        <v>1</v>
      </c>
      <c r="CJ109" s="5">
        <v>0.25</v>
      </c>
      <c r="CK109" s="5">
        <v>7</v>
      </c>
      <c r="CL109" s="5" t="s">
        <v>1153</v>
      </c>
      <c r="CM109" s="5">
        <v>7</v>
      </c>
      <c r="CN109" s="5" t="s">
        <v>163</v>
      </c>
      <c r="CO109" s="5">
        <v>0</v>
      </c>
      <c r="CP109" s="5" t="s">
        <v>249</v>
      </c>
      <c r="CQ109" s="5" t="s">
        <v>164</v>
      </c>
      <c r="CR109" s="5" t="s">
        <v>1150</v>
      </c>
      <c r="CS109" s="5">
        <v>3</v>
      </c>
      <c r="CT109" s="5" t="b">
        <v>0</v>
      </c>
      <c r="CU109" s="5" t="s">
        <v>165</v>
      </c>
      <c r="CV109" s="5" t="b">
        <v>1</v>
      </c>
      <c r="CW109" s="5" t="b">
        <v>0</v>
      </c>
      <c r="CX109" s="5">
        <v>1</v>
      </c>
      <c r="CY109" s="5">
        <v>2</v>
      </c>
      <c r="CZ109" s="5" t="b">
        <v>0</v>
      </c>
      <c r="DA109" s="5" t="b">
        <v>0</v>
      </c>
      <c r="DB109" s="5" t="b">
        <v>0</v>
      </c>
      <c r="DC109" s="5" t="s">
        <v>166</v>
      </c>
      <c r="DD109" s="5" t="s">
        <v>167</v>
      </c>
      <c r="DE109" s="5" t="s">
        <v>168</v>
      </c>
      <c r="DF109" s="5">
        <v>0.5</v>
      </c>
      <c r="DG109" s="5">
        <v>10</v>
      </c>
      <c r="DH109" s="5">
        <v>0.3</v>
      </c>
      <c r="DI109" s="5">
        <v>1</v>
      </c>
      <c r="DJ109" s="5">
        <v>1</v>
      </c>
      <c r="DK109" s="5" t="s">
        <v>169</v>
      </c>
      <c r="DL109" s="5" t="b">
        <v>0</v>
      </c>
      <c r="DM109" s="5">
        <v>32</v>
      </c>
      <c r="DN109" s="5">
        <v>1</v>
      </c>
      <c r="DO109" s="5" t="s">
        <v>170</v>
      </c>
      <c r="DP109" s="5" t="s">
        <v>1152</v>
      </c>
      <c r="DQ109" s="5" t="s">
        <v>171</v>
      </c>
      <c r="DR109" s="5" t="s">
        <v>172</v>
      </c>
      <c r="DS109" s="7" t="str">
        <f>_xlfn.XLOOKUP(CP109,datasetmap!B:B,datasetmap!A:A)</f>
        <v>HW</v>
      </c>
      <c r="DT109" s="8">
        <f t="shared" si="1"/>
        <v>1.36043008</v>
      </c>
    </row>
    <row r="110" ht="17.6" spans="1:124">
      <c r="A110" s="5" t="s">
        <v>1154</v>
      </c>
      <c r="B110" s="5">
        <v>32</v>
      </c>
      <c r="C110" s="5" t="s">
        <v>141</v>
      </c>
      <c r="D110" s="5" t="s">
        <v>1155</v>
      </c>
      <c r="E110" s="5" t="s">
        <v>1156</v>
      </c>
      <c r="F110" s="5" t="s">
        <v>1157</v>
      </c>
      <c r="G110" s="6">
        <v>1.77892000145029e+18</v>
      </c>
      <c r="H110" s="5">
        <v>0.815559923187468</v>
      </c>
      <c r="I110" s="5">
        <v>0.764943471834253</v>
      </c>
      <c r="J110" s="5">
        <v>0.49726306</v>
      </c>
      <c r="K110" s="5">
        <v>0.815559923187468</v>
      </c>
      <c r="L110" s="6">
        <v>1.77892000145021e+18</v>
      </c>
      <c r="M110" s="5">
        <v>0.76878612716763</v>
      </c>
      <c r="N110" s="6">
        <v>1.77892002909224e+18</v>
      </c>
      <c r="O110" s="6">
        <v>1.7789198296904e+18</v>
      </c>
      <c r="P110" s="5">
        <v>43.051041349</v>
      </c>
      <c r="Q110" s="5">
        <v>0.25</v>
      </c>
      <c r="R110" s="5">
        <v>6</v>
      </c>
      <c r="S110" s="5" t="s">
        <v>145</v>
      </c>
      <c r="T110" s="5" t="s">
        <v>146</v>
      </c>
      <c r="U110" s="5" t="b">
        <v>0</v>
      </c>
      <c r="V110" s="5">
        <v>25</v>
      </c>
      <c r="W110" s="5">
        <v>0</v>
      </c>
      <c r="X110" s="5">
        <v>10</v>
      </c>
      <c r="Y110" s="5">
        <v>8</v>
      </c>
      <c r="Z110" s="5" t="b">
        <v>0</v>
      </c>
      <c r="AA110" s="5">
        <v>4</v>
      </c>
      <c r="AB110" s="5" t="b">
        <v>0</v>
      </c>
      <c r="AC110" s="5" t="b">
        <v>0</v>
      </c>
      <c r="AD110" s="5" t="s">
        <v>147</v>
      </c>
      <c r="AE110" s="5" t="s">
        <v>1158</v>
      </c>
      <c r="AF110" s="5">
        <v>1</v>
      </c>
      <c r="AG110" s="5" t="b">
        <v>0</v>
      </c>
      <c r="AH110" s="5" t="b">
        <v>0</v>
      </c>
      <c r="AI110" s="5" t="s">
        <v>149</v>
      </c>
      <c r="AJ110" s="5">
        <v>3</v>
      </c>
      <c r="AK110" s="5" t="b">
        <v>0</v>
      </c>
      <c r="AL110" s="5">
        <v>7</v>
      </c>
      <c r="AM110" s="5">
        <v>0</v>
      </c>
      <c r="AN110" s="5">
        <v>0</v>
      </c>
      <c r="AO110" s="5" t="b">
        <v>0</v>
      </c>
      <c r="AP110" s="5">
        <v>0.001</v>
      </c>
      <c r="AQ110" s="5">
        <v>256</v>
      </c>
      <c r="AR110" s="5" t="b">
        <v>1</v>
      </c>
      <c r="AS110" s="5">
        <v>1</v>
      </c>
      <c r="AT110" s="5">
        <v>3</v>
      </c>
      <c r="AU110" s="5">
        <v>0.1</v>
      </c>
      <c r="AV110" s="5">
        <v>0.1</v>
      </c>
      <c r="AW110" s="5" t="b">
        <v>0</v>
      </c>
      <c r="AX110" s="5">
        <v>32</v>
      </c>
      <c r="AY110" s="5">
        <v>1234</v>
      </c>
      <c r="AZ110" s="5">
        <v>1</v>
      </c>
      <c r="BA110" s="5">
        <v>16</v>
      </c>
      <c r="BB110" s="5" t="s">
        <v>150</v>
      </c>
      <c r="BC110" s="5" t="s">
        <v>151</v>
      </c>
      <c r="BD110" s="5">
        <v>10</v>
      </c>
      <c r="BE110" s="5" t="b">
        <v>0</v>
      </c>
      <c r="BF110" s="5" t="s">
        <v>152</v>
      </c>
      <c r="BG110" s="5" t="s">
        <v>1159</v>
      </c>
      <c r="BH110" s="5">
        <v>0</v>
      </c>
      <c r="BI110" s="5" t="s">
        <v>154</v>
      </c>
      <c r="BJ110" s="5">
        <v>2</v>
      </c>
      <c r="BK110" s="5"/>
      <c r="BL110" s="5" t="b">
        <v>0</v>
      </c>
      <c r="BM110" s="5">
        <v>0</v>
      </c>
      <c r="BN110" s="5">
        <v>0</v>
      </c>
      <c r="BO110" s="5" t="s">
        <v>155</v>
      </c>
      <c r="BP110" s="5">
        <v>128</v>
      </c>
      <c r="BQ110" s="5" t="s">
        <v>156</v>
      </c>
      <c r="BR110" s="5">
        <v>2</v>
      </c>
      <c r="BS110" s="5" t="s">
        <v>157</v>
      </c>
      <c r="BT110" s="5">
        <v>0</v>
      </c>
      <c r="BU110" s="5">
        <v>96</v>
      </c>
      <c r="BV110" s="5" t="b">
        <v>0</v>
      </c>
      <c r="BW110" s="5">
        <v>1000</v>
      </c>
      <c r="BX110" s="5">
        <v>0.3</v>
      </c>
      <c r="BY110" s="5" t="b">
        <v>0</v>
      </c>
      <c r="BZ110" s="5" t="s">
        <v>1160</v>
      </c>
      <c r="CA110" s="5" t="s">
        <v>13</v>
      </c>
      <c r="CB110" s="5" t="s">
        <v>1161</v>
      </c>
      <c r="CC110" s="5" t="s">
        <v>160</v>
      </c>
      <c r="CD110" s="5">
        <v>144</v>
      </c>
      <c r="CE110" s="5">
        <v>32</v>
      </c>
      <c r="CF110" s="5" t="b">
        <v>0</v>
      </c>
      <c r="CG110" s="5" t="s">
        <v>161</v>
      </c>
      <c r="CH110" s="5">
        <v>48</v>
      </c>
      <c r="CI110" s="5">
        <v>1</v>
      </c>
      <c r="CJ110" s="5">
        <v>0.25</v>
      </c>
      <c r="CK110" s="5">
        <v>7</v>
      </c>
      <c r="CL110" s="5" t="s">
        <v>1162</v>
      </c>
      <c r="CM110" s="5">
        <v>7</v>
      </c>
      <c r="CN110" s="5" t="s">
        <v>163</v>
      </c>
      <c r="CO110" s="5">
        <v>0</v>
      </c>
      <c r="CP110" s="5" t="s">
        <v>8</v>
      </c>
      <c r="CQ110" s="5" t="s">
        <v>164</v>
      </c>
      <c r="CR110" s="5" t="s">
        <v>1159</v>
      </c>
      <c r="CS110" s="5">
        <v>963</v>
      </c>
      <c r="CT110" s="5" t="b">
        <v>0</v>
      </c>
      <c r="CU110" s="5" t="s">
        <v>165</v>
      </c>
      <c r="CV110" s="5" t="b">
        <v>1</v>
      </c>
      <c r="CW110" s="5" t="b">
        <v>0</v>
      </c>
      <c r="CX110" s="5">
        <v>1</v>
      </c>
      <c r="CY110" s="5">
        <v>2</v>
      </c>
      <c r="CZ110" s="5" t="b">
        <v>0</v>
      </c>
      <c r="DA110" s="5" t="b">
        <v>0</v>
      </c>
      <c r="DB110" s="5" t="b">
        <v>0</v>
      </c>
      <c r="DC110" s="5" t="s">
        <v>166</v>
      </c>
      <c r="DD110" s="5" t="s">
        <v>167</v>
      </c>
      <c r="DE110" s="5" t="s">
        <v>168</v>
      </c>
      <c r="DF110" s="5">
        <v>0.5</v>
      </c>
      <c r="DG110" s="5">
        <v>10</v>
      </c>
      <c r="DH110" s="5">
        <v>0.3</v>
      </c>
      <c r="DI110" s="5">
        <v>1</v>
      </c>
      <c r="DJ110" s="5">
        <v>1</v>
      </c>
      <c r="DK110" s="5" t="s">
        <v>169</v>
      </c>
      <c r="DL110" s="5" t="b">
        <v>0</v>
      </c>
      <c r="DM110" s="5">
        <v>32</v>
      </c>
      <c r="DN110" s="5">
        <v>1</v>
      </c>
      <c r="DO110" s="5" t="s">
        <v>170</v>
      </c>
      <c r="DP110" s="5" t="s">
        <v>1161</v>
      </c>
      <c r="DQ110" s="5" t="s">
        <v>171</v>
      </c>
      <c r="DR110" s="5" t="s">
        <v>172</v>
      </c>
      <c r="DS110" s="7" t="str">
        <f>_xlfn.XLOOKUP(CP110,datasetmap!B:B,datasetmap!A:A)</f>
        <v>PEMS-SF</v>
      </c>
      <c r="DT110" s="8">
        <f t="shared" si="1"/>
        <v>27.641949952</v>
      </c>
    </row>
    <row r="111" ht="17.6" spans="1:124">
      <c r="A111" s="5" t="s">
        <v>1163</v>
      </c>
      <c r="B111" s="5">
        <v>32</v>
      </c>
      <c r="C111" s="5" t="s">
        <v>141</v>
      </c>
      <c r="D111" s="5" t="s">
        <v>1164</v>
      </c>
      <c r="E111" s="5" t="s">
        <v>1165</v>
      </c>
      <c r="F111" s="5" t="s">
        <v>1166</v>
      </c>
      <c r="G111" s="6">
        <v>1.77891988436114e+18</v>
      </c>
      <c r="H111" s="5">
        <v>0.337402901404058</v>
      </c>
      <c r="I111" s="5">
        <v>0.259159653925431</v>
      </c>
      <c r="J111" s="5">
        <v>0.805098562</v>
      </c>
      <c r="K111" s="5">
        <v>0.337402901404058</v>
      </c>
      <c r="L111" s="6">
        <v>1.77891988436108e+18</v>
      </c>
      <c r="M111" s="5">
        <v>0.300380228136882</v>
      </c>
      <c r="N111" s="6">
        <v>1.77891988572895e+18</v>
      </c>
      <c r="O111" s="6">
        <v>1.77891982322162e+18</v>
      </c>
      <c r="P111" s="5">
        <v>59.423800665</v>
      </c>
      <c r="Q111" s="5">
        <v>0.25</v>
      </c>
      <c r="R111" s="5">
        <v>6</v>
      </c>
      <c r="S111" s="5" t="s">
        <v>145</v>
      </c>
      <c r="T111" s="5" t="s">
        <v>146</v>
      </c>
      <c r="U111" s="5" t="b">
        <v>0</v>
      </c>
      <c r="V111" s="5">
        <v>25</v>
      </c>
      <c r="W111" s="5">
        <v>0</v>
      </c>
      <c r="X111" s="5">
        <v>10</v>
      </c>
      <c r="Y111" s="5">
        <v>8</v>
      </c>
      <c r="Z111" s="5" t="b">
        <v>0</v>
      </c>
      <c r="AA111" s="5">
        <v>4</v>
      </c>
      <c r="AB111" s="5" t="b">
        <v>0</v>
      </c>
      <c r="AC111" s="5" t="b">
        <v>0</v>
      </c>
      <c r="AD111" s="5" t="s">
        <v>147</v>
      </c>
      <c r="AE111" s="5" t="s">
        <v>1167</v>
      </c>
      <c r="AF111" s="5">
        <v>1</v>
      </c>
      <c r="AG111" s="5" t="b">
        <v>0</v>
      </c>
      <c r="AH111" s="5" t="b">
        <v>0</v>
      </c>
      <c r="AI111" s="5" t="s">
        <v>149</v>
      </c>
      <c r="AJ111" s="5">
        <v>3</v>
      </c>
      <c r="AK111" s="5" t="b">
        <v>0</v>
      </c>
      <c r="AL111" s="5">
        <v>4</v>
      </c>
      <c r="AM111" s="5">
        <v>0</v>
      </c>
      <c r="AN111" s="5">
        <v>0</v>
      </c>
      <c r="AO111" s="5" t="b">
        <v>0</v>
      </c>
      <c r="AP111" s="5">
        <v>0.001</v>
      </c>
      <c r="AQ111" s="5">
        <v>256</v>
      </c>
      <c r="AR111" s="5" t="b">
        <v>1</v>
      </c>
      <c r="AS111" s="5">
        <v>1</v>
      </c>
      <c r="AT111" s="5">
        <v>3</v>
      </c>
      <c r="AU111" s="5">
        <v>0.1</v>
      </c>
      <c r="AV111" s="5">
        <v>0.1</v>
      </c>
      <c r="AW111" s="5" t="b">
        <v>0</v>
      </c>
      <c r="AX111" s="5">
        <v>32</v>
      </c>
      <c r="AY111" s="5">
        <v>2026</v>
      </c>
      <c r="AZ111" s="5">
        <v>1</v>
      </c>
      <c r="BA111" s="5">
        <v>16</v>
      </c>
      <c r="BB111" s="5" t="s">
        <v>264</v>
      </c>
      <c r="BC111" s="5" t="s">
        <v>151</v>
      </c>
      <c r="BD111" s="5">
        <v>10</v>
      </c>
      <c r="BE111" s="5" t="b">
        <v>0</v>
      </c>
      <c r="BF111" s="5" t="s">
        <v>152</v>
      </c>
      <c r="BG111" s="5" t="s">
        <v>1168</v>
      </c>
      <c r="BH111" s="5">
        <v>0</v>
      </c>
      <c r="BI111" s="5" t="s">
        <v>154</v>
      </c>
      <c r="BJ111" s="5">
        <v>2</v>
      </c>
      <c r="BK111" s="5"/>
      <c r="BL111" s="5" t="b">
        <v>0</v>
      </c>
      <c r="BM111" s="5">
        <v>0</v>
      </c>
      <c r="BN111" s="5">
        <v>0</v>
      </c>
      <c r="BO111" s="5" t="s">
        <v>155</v>
      </c>
      <c r="BP111" s="5">
        <v>128</v>
      </c>
      <c r="BQ111" s="5" t="s">
        <v>156</v>
      </c>
      <c r="BR111" s="5">
        <v>2</v>
      </c>
      <c r="BS111" s="5" t="s">
        <v>157</v>
      </c>
      <c r="BT111" s="5">
        <v>0</v>
      </c>
      <c r="BU111" s="5">
        <v>96</v>
      </c>
      <c r="BV111" s="5" t="b">
        <v>0</v>
      </c>
      <c r="BW111" s="5">
        <v>1000</v>
      </c>
      <c r="BX111" s="5">
        <v>0.3</v>
      </c>
      <c r="BY111" s="5" t="b">
        <v>0</v>
      </c>
      <c r="BZ111" s="5" t="s">
        <v>1169</v>
      </c>
      <c r="CA111" s="5" t="s">
        <v>13</v>
      </c>
      <c r="CB111" s="5" t="s">
        <v>1170</v>
      </c>
      <c r="CC111" s="5" t="s">
        <v>160</v>
      </c>
      <c r="CD111" s="5">
        <v>1751</v>
      </c>
      <c r="CE111" s="5">
        <v>32</v>
      </c>
      <c r="CF111" s="5" t="b">
        <v>0</v>
      </c>
      <c r="CG111" s="5" t="s">
        <v>161</v>
      </c>
      <c r="CH111" s="5">
        <v>48</v>
      </c>
      <c r="CI111" s="5">
        <v>1</v>
      </c>
      <c r="CJ111" s="5">
        <v>0.25</v>
      </c>
      <c r="CK111" s="5">
        <v>7</v>
      </c>
      <c r="CL111" s="5" t="s">
        <v>1171</v>
      </c>
      <c r="CM111" s="5">
        <v>7</v>
      </c>
      <c r="CN111" s="5" t="s">
        <v>163</v>
      </c>
      <c r="CO111" s="5">
        <v>0</v>
      </c>
      <c r="CP111" s="5" t="s">
        <v>269</v>
      </c>
      <c r="CQ111" s="5" t="s">
        <v>164</v>
      </c>
      <c r="CR111" s="5" t="s">
        <v>1168</v>
      </c>
      <c r="CS111" s="5">
        <v>3</v>
      </c>
      <c r="CT111" s="5" t="b">
        <v>0</v>
      </c>
      <c r="CU111" s="5" t="s">
        <v>165</v>
      </c>
      <c r="CV111" s="5" t="b">
        <v>1</v>
      </c>
      <c r="CW111" s="5" t="b">
        <v>0</v>
      </c>
      <c r="CX111" s="5">
        <v>1</v>
      </c>
      <c r="CY111" s="5">
        <v>2</v>
      </c>
      <c r="CZ111" s="5" t="b">
        <v>0</v>
      </c>
      <c r="DA111" s="5" t="b">
        <v>0</v>
      </c>
      <c r="DB111" s="5" t="b">
        <v>0</v>
      </c>
      <c r="DC111" s="5" t="s">
        <v>166</v>
      </c>
      <c r="DD111" s="5" t="s">
        <v>167</v>
      </c>
      <c r="DE111" s="5" t="s">
        <v>168</v>
      </c>
      <c r="DF111" s="5">
        <v>0.5</v>
      </c>
      <c r="DG111" s="5">
        <v>10</v>
      </c>
      <c r="DH111" s="5">
        <v>0.3</v>
      </c>
      <c r="DI111" s="5">
        <v>1</v>
      </c>
      <c r="DJ111" s="5">
        <v>1</v>
      </c>
      <c r="DK111" s="5" t="s">
        <v>169</v>
      </c>
      <c r="DL111" s="5" t="b">
        <v>0</v>
      </c>
      <c r="DM111" s="5">
        <v>32</v>
      </c>
      <c r="DN111" s="5">
        <v>1</v>
      </c>
      <c r="DO111" s="5" t="s">
        <v>170</v>
      </c>
      <c r="DP111" s="5" t="s">
        <v>1170</v>
      </c>
      <c r="DQ111" s="5" t="s">
        <v>171</v>
      </c>
      <c r="DR111" s="5" t="s">
        <v>172</v>
      </c>
      <c r="DS111" s="7" t="str">
        <f>_xlfn.XLOOKUP(CP111,datasetmap!B:B,datasetmap!A:A)</f>
        <v>EC</v>
      </c>
      <c r="DT111" s="8">
        <f t="shared" si="1"/>
        <v>1.367810048</v>
      </c>
    </row>
    <row r="112" ht="17.6" spans="1:124">
      <c r="A112" s="5" t="s">
        <v>1172</v>
      </c>
      <c r="B112" s="5">
        <v>32</v>
      </c>
      <c r="C112" s="5" t="s">
        <v>141</v>
      </c>
      <c r="D112" s="5" t="s">
        <v>1173</v>
      </c>
      <c r="E112" s="5" t="s">
        <v>1174</v>
      </c>
      <c r="F112" s="5" t="s">
        <v>1175</v>
      </c>
      <c r="G112" s="6">
        <v>1.77891980478945e+18</v>
      </c>
      <c r="H112" s="5">
        <v>0.91844664091949</v>
      </c>
      <c r="I112" s="5">
        <v>0.914947311179573</v>
      </c>
      <c r="J112" s="5">
        <v>0.376118493</v>
      </c>
      <c r="K112" s="5">
        <v>0.91844664091949</v>
      </c>
      <c r="L112" s="6">
        <v>1.77891980478939e+18</v>
      </c>
      <c r="M112" s="5">
        <v>0.915625</v>
      </c>
      <c r="N112" s="6">
        <v>1.77891980545869e+18</v>
      </c>
      <c r="O112" s="6">
        <v>1.77891972998862e+18</v>
      </c>
      <c r="P112" s="5">
        <v>73.921826119</v>
      </c>
      <c r="Q112" s="5">
        <v>0.25</v>
      </c>
      <c r="R112" s="5">
        <v>6</v>
      </c>
      <c r="S112" s="5" t="s">
        <v>145</v>
      </c>
      <c r="T112" s="5" t="s">
        <v>146</v>
      </c>
      <c r="U112" s="5" t="b">
        <v>0</v>
      </c>
      <c r="V112" s="5">
        <v>25</v>
      </c>
      <c r="W112" s="5">
        <v>0</v>
      </c>
      <c r="X112" s="5">
        <v>10</v>
      </c>
      <c r="Y112" s="5">
        <v>8</v>
      </c>
      <c r="Z112" s="5" t="b">
        <v>0</v>
      </c>
      <c r="AA112" s="5">
        <v>4</v>
      </c>
      <c r="AB112" s="5" t="b">
        <v>0</v>
      </c>
      <c r="AC112" s="5" t="b">
        <v>0</v>
      </c>
      <c r="AD112" s="5" t="s">
        <v>147</v>
      </c>
      <c r="AE112" s="5" t="s">
        <v>1176</v>
      </c>
      <c r="AF112" s="5">
        <v>1</v>
      </c>
      <c r="AG112" s="5" t="b">
        <v>0</v>
      </c>
      <c r="AH112" s="5" t="b">
        <v>0</v>
      </c>
      <c r="AI112" s="5" t="s">
        <v>149</v>
      </c>
      <c r="AJ112" s="5">
        <v>3</v>
      </c>
      <c r="AK112" s="5" t="b">
        <v>0</v>
      </c>
      <c r="AL112" s="5">
        <v>8</v>
      </c>
      <c r="AM112" s="5">
        <v>0</v>
      </c>
      <c r="AN112" s="5">
        <v>0</v>
      </c>
      <c r="AO112" s="5" t="b">
        <v>0</v>
      </c>
      <c r="AP112" s="5">
        <v>0.001</v>
      </c>
      <c r="AQ112" s="5">
        <v>256</v>
      </c>
      <c r="AR112" s="5" t="b">
        <v>1</v>
      </c>
      <c r="AS112" s="5">
        <v>1</v>
      </c>
      <c r="AT112" s="5">
        <v>3</v>
      </c>
      <c r="AU112" s="5">
        <v>0.1</v>
      </c>
      <c r="AV112" s="5">
        <v>0.1</v>
      </c>
      <c r="AW112" s="5" t="b">
        <v>0</v>
      </c>
      <c r="AX112" s="5">
        <v>32</v>
      </c>
      <c r="AY112" s="5">
        <v>2026</v>
      </c>
      <c r="AZ112" s="5">
        <v>1</v>
      </c>
      <c r="BA112" s="5">
        <v>16</v>
      </c>
      <c r="BB112" s="5" t="s">
        <v>275</v>
      </c>
      <c r="BC112" s="5" t="s">
        <v>151</v>
      </c>
      <c r="BD112" s="5">
        <v>10</v>
      </c>
      <c r="BE112" s="5" t="b">
        <v>0</v>
      </c>
      <c r="BF112" s="5" t="s">
        <v>152</v>
      </c>
      <c r="BG112" s="5" t="s">
        <v>1177</v>
      </c>
      <c r="BH112" s="5">
        <v>0</v>
      </c>
      <c r="BI112" s="5" t="s">
        <v>154</v>
      </c>
      <c r="BJ112" s="5">
        <v>2</v>
      </c>
      <c r="BK112" s="5"/>
      <c r="BL112" s="5" t="b">
        <v>0</v>
      </c>
      <c r="BM112" s="5">
        <v>0</v>
      </c>
      <c r="BN112" s="5">
        <v>0</v>
      </c>
      <c r="BO112" s="5" t="s">
        <v>155</v>
      </c>
      <c r="BP112" s="5">
        <v>128</v>
      </c>
      <c r="BQ112" s="5" t="s">
        <v>156</v>
      </c>
      <c r="BR112" s="5">
        <v>2</v>
      </c>
      <c r="BS112" s="5" t="s">
        <v>157</v>
      </c>
      <c r="BT112" s="5">
        <v>0</v>
      </c>
      <c r="BU112" s="5">
        <v>96</v>
      </c>
      <c r="BV112" s="5" t="b">
        <v>0</v>
      </c>
      <c r="BW112" s="5">
        <v>1000</v>
      </c>
      <c r="BX112" s="5">
        <v>0.3</v>
      </c>
      <c r="BY112" s="5" t="b">
        <v>0</v>
      </c>
      <c r="BZ112" s="5" t="s">
        <v>1178</v>
      </c>
      <c r="CA112" s="5" t="s">
        <v>13</v>
      </c>
      <c r="CB112" s="5" t="s">
        <v>1179</v>
      </c>
      <c r="CC112" s="5" t="s">
        <v>160</v>
      </c>
      <c r="CD112" s="5">
        <v>315</v>
      </c>
      <c r="CE112" s="5">
        <v>32</v>
      </c>
      <c r="CF112" s="5" t="b">
        <v>0</v>
      </c>
      <c r="CG112" s="5" t="s">
        <v>161</v>
      </c>
      <c r="CH112" s="5">
        <v>48</v>
      </c>
      <c r="CI112" s="5">
        <v>1</v>
      </c>
      <c r="CJ112" s="5">
        <v>0.25</v>
      </c>
      <c r="CK112" s="5">
        <v>7</v>
      </c>
      <c r="CL112" s="5" t="s">
        <v>1180</v>
      </c>
      <c r="CM112" s="5">
        <v>7</v>
      </c>
      <c r="CN112" s="5" t="s">
        <v>163</v>
      </c>
      <c r="CO112" s="5">
        <v>0</v>
      </c>
      <c r="CP112" s="5" t="s">
        <v>280</v>
      </c>
      <c r="CQ112" s="5" t="s">
        <v>164</v>
      </c>
      <c r="CR112" s="5" t="s">
        <v>1177</v>
      </c>
      <c r="CS112" s="5">
        <v>3</v>
      </c>
      <c r="CT112" s="5" t="b">
        <v>0</v>
      </c>
      <c r="CU112" s="5" t="s">
        <v>165</v>
      </c>
      <c r="CV112" s="5" t="b">
        <v>1</v>
      </c>
      <c r="CW112" s="5" t="b">
        <v>0</v>
      </c>
      <c r="CX112" s="5">
        <v>1</v>
      </c>
      <c r="CY112" s="5">
        <v>2</v>
      </c>
      <c r="CZ112" s="5" t="b">
        <v>0</v>
      </c>
      <c r="DA112" s="5" t="b">
        <v>0</v>
      </c>
      <c r="DB112" s="5" t="b">
        <v>0</v>
      </c>
      <c r="DC112" s="5" t="s">
        <v>166</v>
      </c>
      <c r="DD112" s="5" t="s">
        <v>167</v>
      </c>
      <c r="DE112" s="5" t="s">
        <v>168</v>
      </c>
      <c r="DF112" s="5">
        <v>0.5</v>
      </c>
      <c r="DG112" s="5">
        <v>10</v>
      </c>
      <c r="DH112" s="5">
        <v>0.3</v>
      </c>
      <c r="DI112" s="5">
        <v>1</v>
      </c>
      <c r="DJ112" s="5">
        <v>1</v>
      </c>
      <c r="DK112" s="5" t="s">
        <v>169</v>
      </c>
      <c r="DL112" s="5" t="b">
        <v>0</v>
      </c>
      <c r="DM112" s="5">
        <v>32</v>
      </c>
      <c r="DN112" s="5">
        <v>1</v>
      </c>
      <c r="DO112" s="5" t="s">
        <v>170</v>
      </c>
      <c r="DP112" s="5" t="s">
        <v>1179</v>
      </c>
      <c r="DQ112" s="5" t="s">
        <v>171</v>
      </c>
      <c r="DR112" s="5" t="s">
        <v>172</v>
      </c>
      <c r="DS112" s="7" t="str">
        <f>_xlfn.XLOOKUP(CP112,datasetmap!B:B,datasetmap!A:A)</f>
        <v>UWG</v>
      </c>
      <c r="DT112" s="8">
        <f t="shared" si="1"/>
        <v>0.669240064</v>
      </c>
    </row>
    <row r="113" ht="17.6" spans="1:124">
      <c r="A113" s="5" t="s">
        <v>1181</v>
      </c>
      <c r="B113" s="5">
        <v>32</v>
      </c>
      <c r="C113" s="5" t="s">
        <v>141</v>
      </c>
      <c r="D113" s="5" t="s">
        <v>1182</v>
      </c>
      <c r="E113" s="5" t="s">
        <v>1183</v>
      </c>
      <c r="F113" s="5" t="s">
        <v>1184</v>
      </c>
      <c r="G113" s="6">
        <v>1.77891963046698e+18</v>
      </c>
      <c r="H113" s="5">
        <v>0.64162341183762</v>
      </c>
      <c r="I113" s="5">
        <v>0.641122372390518</v>
      </c>
      <c r="J113" s="5">
        <v>0.880990138</v>
      </c>
      <c r="K113" s="5">
        <v>0.64162341183762</v>
      </c>
      <c r="L113" s="6">
        <v>1.77891963046691e+18</v>
      </c>
      <c r="M113" s="5">
        <v>0.641316685584563</v>
      </c>
      <c r="N113" s="6">
        <v>1.77891969856574e+18</v>
      </c>
      <c r="O113" s="6">
        <v>1.77891930808163e+18</v>
      </c>
      <c r="P113" s="5">
        <v>59.39986085</v>
      </c>
      <c r="Q113" s="5">
        <v>0.25</v>
      </c>
      <c r="R113" s="5">
        <v>6</v>
      </c>
      <c r="S113" s="5" t="s">
        <v>145</v>
      </c>
      <c r="T113" s="5" t="s">
        <v>146</v>
      </c>
      <c r="U113" s="5" t="b">
        <v>0</v>
      </c>
      <c r="V113" s="5">
        <v>25</v>
      </c>
      <c r="W113" s="5">
        <v>0</v>
      </c>
      <c r="X113" s="5">
        <v>10</v>
      </c>
      <c r="Y113" s="5">
        <v>8</v>
      </c>
      <c r="Z113" s="5" t="b">
        <v>0</v>
      </c>
      <c r="AA113" s="5">
        <v>4</v>
      </c>
      <c r="AB113" s="5" t="b">
        <v>0</v>
      </c>
      <c r="AC113" s="5" t="b">
        <v>0</v>
      </c>
      <c r="AD113" s="5" t="s">
        <v>147</v>
      </c>
      <c r="AE113" s="5" t="s">
        <v>1185</v>
      </c>
      <c r="AF113" s="5">
        <v>1</v>
      </c>
      <c r="AG113" s="5" t="b">
        <v>0</v>
      </c>
      <c r="AH113" s="5" t="b">
        <v>0</v>
      </c>
      <c r="AI113" s="5" t="s">
        <v>149</v>
      </c>
      <c r="AJ113" s="5">
        <v>3</v>
      </c>
      <c r="AK113" s="5" t="b">
        <v>0</v>
      </c>
      <c r="AL113" s="5">
        <v>2</v>
      </c>
      <c r="AM113" s="5">
        <v>0</v>
      </c>
      <c r="AN113" s="5">
        <v>0</v>
      </c>
      <c r="AO113" s="5" t="b">
        <v>0</v>
      </c>
      <c r="AP113" s="5">
        <v>0.001</v>
      </c>
      <c r="AQ113" s="5">
        <v>256</v>
      </c>
      <c r="AR113" s="5" t="b">
        <v>1</v>
      </c>
      <c r="AS113" s="5">
        <v>1</v>
      </c>
      <c r="AT113" s="5">
        <v>3</v>
      </c>
      <c r="AU113" s="5">
        <v>0.1</v>
      </c>
      <c r="AV113" s="5">
        <v>0.1</v>
      </c>
      <c r="AW113" s="5" t="b">
        <v>0</v>
      </c>
      <c r="AX113" s="5">
        <v>32</v>
      </c>
      <c r="AY113" s="5">
        <v>1234</v>
      </c>
      <c r="AZ113" s="5">
        <v>1</v>
      </c>
      <c r="BA113" s="5">
        <v>16</v>
      </c>
      <c r="BB113" s="5" t="s">
        <v>189</v>
      </c>
      <c r="BC113" s="5" t="s">
        <v>151</v>
      </c>
      <c r="BD113" s="5">
        <v>10</v>
      </c>
      <c r="BE113" s="5" t="b">
        <v>0</v>
      </c>
      <c r="BF113" s="5" t="s">
        <v>152</v>
      </c>
      <c r="BG113" s="5" t="s">
        <v>1186</v>
      </c>
      <c r="BH113" s="5">
        <v>0</v>
      </c>
      <c r="BI113" s="5" t="s">
        <v>154</v>
      </c>
      <c r="BJ113" s="5">
        <v>2</v>
      </c>
      <c r="BK113" s="5"/>
      <c r="BL113" s="5" t="b">
        <v>0</v>
      </c>
      <c r="BM113" s="5">
        <v>0</v>
      </c>
      <c r="BN113" s="5">
        <v>0</v>
      </c>
      <c r="BO113" s="5" t="s">
        <v>155</v>
      </c>
      <c r="BP113" s="5">
        <v>128</v>
      </c>
      <c r="BQ113" s="5" t="s">
        <v>156</v>
      </c>
      <c r="BR113" s="5">
        <v>2</v>
      </c>
      <c r="BS113" s="5" t="s">
        <v>157</v>
      </c>
      <c r="BT113" s="5">
        <v>0</v>
      </c>
      <c r="BU113" s="5">
        <v>96</v>
      </c>
      <c r="BV113" s="5" t="b">
        <v>0</v>
      </c>
      <c r="BW113" s="5">
        <v>1000</v>
      </c>
      <c r="BX113" s="5">
        <v>0.3</v>
      </c>
      <c r="BY113" s="5" t="b">
        <v>0</v>
      </c>
      <c r="BZ113" s="5" t="s">
        <v>1187</v>
      </c>
      <c r="CA113" s="5" t="s">
        <v>13</v>
      </c>
      <c r="CB113" s="5" t="s">
        <v>1188</v>
      </c>
      <c r="CC113" s="5" t="s">
        <v>160</v>
      </c>
      <c r="CD113" s="5">
        <v>62</v>
      </c>
      <c r="CE113" s="5">
        <v>32</v>
      </c>
      <c r="CF113" s="5" t="b">
        <v>0</v>
      </c>
      <c r="CG113" s="5" t="s">
        <v>161</v>
      </c>
      <c r="CH113" s="5">
        <v>48</v>
      </c>
      <c r="CI113" s="5">
        <v>1</v>
      </c>
      <c r="CJ113" s="5">
        <v>0.25</v>
      </c>
      <c r="CK113" s="5">
        <v>7</v>
      </c>
      <c r="CL113" s="5" t="s">
        <v>1189</v>
      </c>
      <c r="CM113" s="5">
        <v>7</v>
      </c>
      <c r="CN113" s="5" t="s">
        <v>163</v>
      </c>
      <c r="CO113" s="5">
        <v>0</v>
      </c>
      <c r="CP113" s="5" t="s">
        <v>194</v>
      </c>
      <c r="CQ113" s="5" t="s">
        <v>164</v>
      </c>
      <c r="CR113" s="5" t="s">
        <v>1186</v>
      </c>
      <c r="CS113" s="5">
        <v>144</v>
      </c>
      <c r="CT113" s="5" t="b">
        <v>0</v>
      </c>
      <c r="CU113" s="5" t="s">
        <v>165</v>
      </c>
      <c r="CV113" s="5" t="b">
        <v>1</v>
      </c>
      <c r="CW113" s="5" t="b">
        <v>0</v>
      </c>
      <c r="CX113" s="5">
        <v>1</v>
      </c>
      <c r="CY113" s="5">
        <v>2</v>
      </c>
      <c r="CZ113" s="5" t="b">
        <v>0</v>
      </c>
      <c r="DA113" s="5" t="b">
        <v>0</v>
      </c>
      <c r="DB113" s="5" t="b">
        <v>0</v>
      </c>
      <c r="DC113" s="5" t="s">
        <v>166</v>
      </c>
      <c r="DD113" s="5" t="s">
        <v>167</v>
      </c>
      <c r="DE113" s="5" t="s">
        <v>168</v>
      </c>
      <c r="DF113" s="5">
        <v>0.5</v>
      </c>
      <c r="DG113" s="5">
        <v>10</v>
      </c>
      <c r="DH113" s="5">
        <v>0.3</v>
      </c>
      <c r="DI113" s="5">
        <v>1</v>
      </c>
      <c r="DJ113" s="5">
        <v>1</v>
      </c>
      <c r="DK113" s="5" t="s">
        <v>169</v>
      </c>
      <c r="DL113" s="5" t="b">
        <v>0</v>
      </c>
      <c r="DM113" s="5">
        <v>32</v>
      </c>
      <c r="DN113" s="5">
        <v>1</v>
      </c>
      <c r="DO113" s="5" t="s">
        <v>170</v>
      </c>
      <c r="DP113" s="5" t="s">
        <v>1188</v>
      </c>
      <c r="DQ113" s="5" t="s">
        <v>171</v>
      </c>
      <c r="DR113" s="5" t="s">
        <v>172</v>
      </c>
      <c r="DS113" s="7" t="str">
        <f>_xlfn.XLOOKUP(CP113,datasetmap!B:B,datasetmap!A:A)</f>
        <v>FD</v>
      </c>
      <c r="DT113" s="8">
        <f t="shared" si="1"/>
        <v>68.098759936</v>
      </c>
    </row>
    <row r="114" ht="17.6" spans="1:124">
      <c r="A114" s="5" t="s">
        <v>1190</v>
      </c>
      <c r="B114" s="5">
        <v>32</v>
      </c>
      <c r="C114" s="5" t="s">
        <v>141</v>
      </c>
      <c r="D114" s="5" t="s">
        <v>1191</v>
      </c>
      <c r="E114" s="5" t="s">
        <v>1192</v>
      </c>
      <c r="F114" s="5" t="s">
        <v>1193</v>
      </c>
      <c r="G114" s="6">
        <v>1.7789195380745e+18</v>
      </c>
      <c r="H114" s="5">
        <v>0.991030996400482</v>
      </c>
      <c r="I114" s="5">
        <v>0.990894613112461</v>
      </c>
      <c r="J114" s="5">
        <v>0.55675265</v>
      </c>
      <c r="K114" s="5">
        <v>0.991030996400482</v>
      </c>
      <c r="L114" s="6">
        <v>1.77891953807443e+18</v>
      </c>
      <c r="M114" s="5">
        <v>0.990904956798544</v>
      </c>
      <c r="N114" s="6">
        <v>1.77891954286437e+18</v>
      </c>
      <c r="O114" s="6">
        <v>1.77891947116951e+18</v>
      </c>
      <c r="P114" s="5">
        <v>45.562775449</v>
      </c>
      <c r="Q114" s="5">
        <v>0.25</v>
      </c>
      <c r="R114" s="5">
        <v>6</v>
      </c>
      <c r="S114" s="5" t="s">
        <v>145</v>
      </c>
      <c r="T114" s="5" t="s">
        <v>146</v>
      </c>
      <c r="U114" s="5" t="b">
        <v>0</v>
      </c>
      <c r="V114" s="5">
        <v>25</v>
      </c>
      <c r="W114" s="5">
        <v>0</v>
      </c>
      <c r="X114" s="5">
        <v>10</v>
      </c>
      <c r="Y114" s="5">
        <v>8</v>
      </c>
      <c r="Z114" s="5" t="b">
        <v>0</v>
      </c>
      <c r="AA114" s="5">
        <v>4</v>
      </c>
      <c r="AB114" s="5" t="b">
        <v>0</v>
      </c>
      <c r="AC114" s="5" t="b">
        <v>0</v>
      </c>
      <c r="AD114" s="5" t="s">
        <v>147</v>
      </c>
      <c r="AE114" s="5" t="s">
        <v>1194</v>
      </c>
      <c r="AF114" s="5">
        <v>1</v>
      </c>
      <c r="AG114" s="5" t="b">
        <v>0</v>
      </c>
      <c r="AH114" s="5" t="b">
        <v>0</v>
      </c>
      <c r="AI114" s="5" t="s">
        <v>149</v>
      </c>
      <c r="AJ114" s="5">
        <v>3</v>
      </c>
      <c r="AK114" s="5" t="b">
        <v>0</v>
      </c>
      <c r="AL114" s="5">
        <v>10</v>
      </c>
      <c r="AM114" s="5">
        <v>0</v>
      </c>
      <c r="AN114" s="5">
        <v>0</v>
      </c>
      <c r="AO114" s="5" t="b">
        <v>0</v>
      </c>
      <c r="AP114" s="5">
        <v>0.001</v>
      </c>
      <c r="AQ114" s="5">
        <v>256</v>
      </c>
      <c r="AR114" s="5" t="b">
        <v>1</v>
      </c>
      <c r="AS114" s="5">
        <v>1</v>
      </c>
      <c r="AT114" s="5">
        <v>3</v>
      </c>
      <c r="AU114" s="5">
        <v>0.1</v>
      </c>
      <c r="AV114" s="5">
        <v>0.1</v>
      </c>
      <c r="AW114" s="5" t="b">
        <v>0</v>
      </c>
      <c r="AX114" s="5">
        <v>32</v>
      </c>
      <c r="AY114" s="5">
        <v>1234</v>
      </c>
      <c r="AZ114" s="5">
        <v>1</v>
      </c>
      <c r="BA114" s="5">
        <v>16</v>
      </c>
      <c r="BB114" s="5" t="s">
        <v>178</v>
      </c>
      <c r="BC114" s="5" t="s">
        <v>151</v>
      </c>
      <c r="BD114" s="5">
        <v>10</v>
      </c>
      <c r="BE114" s="5" t="b">
        <v>0</v>
      </c>
      <c r="BF114" s="5" t="s">
        <v>152</v>
      </c>
      <c r="BG114" s="5" t="s">
        <v>1195</v>
      </c>
      <c r="BH114" s="5">
        <v>0</v>
      </c>
      <c r="BI114" s="5" t="s">
        <v>154</v>
      </c>
      <c r="BJ114" s="5">
        <v>2</v>
      </c>
      <c r="BK114" s="5"/>
      <c r="BL114" s="5" t="b">
        <v>0</v>
      </c>
      <c r="BM114" s="5">
        <v>0</v>
      </c>
      <c r="BN114" s="5">
        <v>0</v>
      </c>
      <c r="BO114" s="5" t="s">
        <v>155</v>
      </c>
      <c r="BP114" s="5">
        <v>128</v>
      </c>
      <c r="BQ114" s="5" t="s">
        <v>156</v>
      </c>
      <c r="BR114" s="5">
        <v>2</v>
      </c>
      <c r="BS114" s="5" t="s">
        <v>157</v>
      </c>
      <c r="BT114" s="5">
        <v>0</v>
      </c>
      <c r="BU114" s="5">
        <v>96</v>
      </c>
      <c r="BV114" s="5" t="b">
        <v>0</v>
      </c>
      <c r="BW114" s="5">
        <v>1000</v>
      </c>
      <c r="BX114" s="5">
        <v>0.3</v>
      </c>
      <c r="BY114" s="5" t="b">
        <v>0</v>
      </c>
      <c r="BZ114" s="5" t="s">
        <v>1196</v>
      </c>
      <c r="CA114" s="5" t="s">
        <v>13</v>
      </c>
      <c r="CB114" s="5" t="s">
        <v>1197</v>
      </c>
      <c r="CC114" s="5" t="s">
        <v>160</v>
      </c>
      <c r="CD114" s="5">
        <v>93</v>
      </c>
      <c r="CE114" s="5">
        <v>32</v>
      </c>
      <c r="CF114" s="5" t="b">
        <v>0</v>
      </c>
      <c r="CG114" s="5" t="s">
        <v>161</v>
      </c>
      <c r="CH114" s="5">
        <v>48</v>
      </c>
      <c r="CI114" s="5">
        <v>1</v>
      </c>
      <c r="CJ114" s="5">
        <v>0.25</v>
      </c>
      <c r="CK114" s="5">
        <v>7</v>
      </c>
      <c r="CL114" s="5" t="s">
        <v>1198</v>
      </c>
      <c r="CM114" s="5">
        <v>7</v>
      </c>
      <c r="CN114" s="5" t="s">
        <v>163</v>
      </c>
      <c r="CO114" s="5">
        <v>0</v>
      </c>
      <c r="CP114" s="5" t="s">
        <v>183</v>
      </c>
      <c r="CQ114" s="5" t="s">
        <v>164</v>
      </c>
      <c r="CR114" s="5" t="s">
        <v>1195</v>
      </c>
      <c r="CS114" s="5">
        <v>13</v>
      </c>
      <c r="CT114" s="5" t="b">
        <v>0</v>
      </c>
      <c r="CU114" s="5" t="s">
        <v>165</v>
      </c>
      <c r="CV114" s="5" t="b">
        <v>1</v>
      </c>
      <c r="CW114" s="5" t="b">
        <v>0</v>
      </c>
      <c r="CX114" s="5">
        <v>1</v>
      </c>
      <c r="CY114" s="5">
        <v>2</v>
      </c>
      <c r="CZ114" s="5" t="b">
        <v>0</v>
      </c>
      <c r="DA114" s="5" t="b">
        <v>0</v>
      </c>
      <c r="DB114" s="5" t="b">
        <v>0</v>
      </c>
      <c r="DC114" s="5" t="s">
        <v>166</v>
      </c>
      <c r="DD114" s="5" t="s">
        <v>167</v>
      </c>
      <c r="DE114" s="5" t="s">
        <v>168</v>
      </c>
      <c r="DF114" s="5">
        <v>0.5</v>
      </c>
      <c r="DG114" s="5">
        <v>10</v>
      </c>
      <c r="DH114" s="5">
        <v>0.3</v>
      </c>
      <c r="DI114" s="5">
        <v>1</v>
      </c>
      <c r="DJ114" s="5">
        <v>1</v>
      </c>
      <c r="DK114" s="5" t="s">
        <v>169</v>
      </c>
      <c r="DL114" s="5" t="b">
        <v>0</v>
      </c>
      <c r="DM114" s="5">
        <v>32</v>
      </c>
      <c r="DN114" s="5">
        <v>1</v>
      </c>
      <c r="DO114" s="5" t="s">
        <v>170</v>
      </c>
      <c r="DP114" s="5" t="s">
        <v>1197</v>
      </c>
      <c r="DQ114" s="5" t="s">
        <v>171</v>
      </c>
      <c r="DR114" s="5" t="s">
        <v>172</v>
      </c>
      <c r="DS114" s="7" t="str">
        <f>_xlfn.XLOOKUP(CP114,datasetmap!B:B,datasetmap!A:A)</f>
        <v>SAD</v>
      </c>
      <c r="DT114" s="8">
        <f t="shared" si="1"/>
        <v>4.789869824</v>
      </c>
    </row>
    <row r="115" ht="17.6" spans="1:124">
      <c r="A115" s="5" t="s">
        <v>1199</v>
      </c>
      <c r="B115" s="5">
        <v>32</v>
      </c>
      <c r="C115" s="5" t="s">
        <v>141</v>
      </c>
      <c r="D115" s="5" t="s">
        <v>1200</v>
      </c>
      <c r="E115" s="5" t="s">
        <v>1201</v>
      </c>
      <c r="F115" s="5" t="s">
        <v>1202</v>
      </c>
      <c r="G115" s="6">
        <v>1.77891943134813e+18</v>
      </c>
      <c r="H115" s="5">
        <v>0.579706477732793</v>
      </c>
      <c r="I115" s="5">
        <v>0.575208048689603</v>
      </c>
      <c r="J115" s="5">
        <v>0.624334603</v>
      </c>
      <c r="K115" s="5">
        <v>0.579706477732793</v>
      </c>
      <c r="L115" s="6">
        <v>1.77891943134809e+18</v>
      </c>
      <c r="M115" s="5">
        <v>0.577777777777777</v>
      </c>
      <c r="N115" s="6">
        <v>1.77891943253377e+18</v>
      </c>
      <c r="O115" s="6">
        <v>1.77891939153571e+18</v>
      </c>
      <c r="P115" s="5">
        <v>38.105427574</v>
      </c>
      <c r="Q115" s="5">
        <v>0.25</v>
      </c>
      <c r="R115" s="5">
        <v>6</v>
      </c>
      <c r="S115" s="5" t="s">
        <v>145</v>
      </c>
      <c r="T115" s="5" t="s">
        <v>146</v>
      </c>
      <c r="U115" s="5" t="b">
        <v>0</v>
      </c>
      <c r="V115" s="5">
        <v>25</v>
      </c>
      <c r="W115" s="5">
        <v>0</v>
      </c>
      <c r="X115" s="5">
        <v>10</v>
      </c>
      <c r="Y115" s="5">
        <v>8</v>
      </c>
      <c r="Z115" s="5" t="b">
        <v>0</v>
      </c>
      <c r="AA115" s="5">
        <v>4</v>
      </c>
      <c r="AB115" s="5" t="b">
        <v>0</v>
      </c>
      <c r="AC115" s="5" t="b">
        <v>0</v>
      </c>
      <c r="AD115" s="5" t="s">
        <v>147</v>
      </c>
      <c r="AE115" s="5" t="s">
        <v>1203</v>
      </c>
      <c r="AF115" s="5">
        <v>1</v>
      </c>
      <c r="AG115" s="5" t="b">
        <v>0</v>
      </c>
      <c r="AH115" s="5" t="b">
        <v>0</v>
      </c>
      <c r="AI115" s="5" t="s">
        <v>149</v>
      </c>
      <c r="AJ115" s="5">
        <v>3</v>
      </c>
      <c r="AK115" s="5" t="b">
        <v>0</v>
      </c>
      <c r="AL115" s="5">
        <v>2</v>
      </c>
      <c r="AM115" s="5">
        <v>0</v>
      </c>
      <c r="AN115" s="5">
        <v>0</v>
      </c>
      <c r="AO115" s="5" t="b">
        <v>0</v>
      </c>
      <c r="AP115" s="5">
        <v>0.001</v>
      </c>
      <c r="AQ115" s="5">
        <v>256</v>
      </c>
      <c r="AR115" s="5" t="b">
        <v>1</v>
      </c>
      <c r="AS115" s="5">
        <v>1</v>
      </c>
      <c r="AT115" s="5">
        <v>3</v>
      </c>
      <c r="AU115" s="5">
        <v>0.1</v>
      </c>
      <c r="AV115" s="5">
        <v>0.1</v>
      </c>
      <c r="AW115" s="5" t="b">
        <v>0</v>
      </c>
      <c r="AX115" s="5">
        <v>32</v>
      </c>
      <c r="AY115" s="5">
        <v>1234</v>
      </c>
      <c r="AZ115" s="5">
        <v>1</v>
      </c>
      <c r="BA115" s="5">
        <v>16</v>
      </c>
      <c r="BB115" s="5" t="s">
        <v>200</v>
      </c>
      <c r="BC115" s="5" t="s">
        <v>151</v>
      </c>
      <c r="BD115" s="5">
        <v>10</v>
      </c>
      <c r="BE115" s="5" t="b">
        <v>0</v>
      </c>
      <c r="BF115" s="5" t="s">
        <v>152</v>
      </c>
      <c r="BG115" s="5" t="s">
        <v>1204</v>
      </c>
      <c r="BH115" s="5">
        <v>0</v>
      </c>
      <c r="BI115" s="5" t="s">
        <v>154</v>
      </c>
      <c r="BJ115" s="5">
        <v>2</v>
      </c>
      <c r="BK115" s="5"/>
      <c r="BL115" s="5" t="b">
        <v>0</v>
      </c>
      <c r="BM115" s="5">
        <v>0</v>
      </c>
      <c r="BN115" s="5">
        <v>0</v>
      </c>
      <c r="BO115" s="5" t="s">
        <v>155</v>
      </c>
      <c r="BP115" s="5">
        <v>128</v>
      </c>
      <c r="BQ115" s="5" t="s">
        <v>156</v>
      </c>
      <c r="BR115" s="5">
        <v>2</v>
      </c>
      <c r="BS115" s="5" t="s">
        <v>157</v>
      </c>
      <c r="BT115" s="5">
        <v>0</v>
      </c>
      <c r="BU115" s="5">
        <v>96</v>
      </c>
      <c r="BV115" s="5" t="b">
        <v>0</v>
      </c>
      <c r="BW115" s="5">
        <v>1000</v>
      </c>
      <c r="BX115" s="5">
        <v>0.3</v>
      </c>
      <c r="BY115" s="5" t="b">
        <v>0</v>
      </c>
      <c r="BZ115" s="5" t="s">
        <v>1205</v>
      </c>
      <c r="CA115" s="5" t="s">
        <v>13</v>
      </c>
      <c r="CB115" s="5" t="s">
        <v>1206</v>
      </c>
      <c r="CC115" s="5" t="s">
        <v>160</v>
      </c>
      <c r="CD115" s="5">
        <v>1152</v>
      </c>
      <c r="CE115" s="5">
        <v>32</v>
      </c>
      <c r="CF115" s="5" t="b">
        <v>0</v>
      </c>
      <c r="CG115" s="5" t="s">
        <v>161</v>
      </c>
      <c r="CH115" s="5">
        <v>48</v>
      </c>
      <c r="CI115" s="5">
        <v>1</v>
      </c>
      <c r="CJ115" s="5">
        <v>0.25</v>
      </c>
      <c r="CK115" s="5">
        <v>7</v>
      </c>
      <c r="CL115" s="5" t="s">
        <v>1207</v>
      </c>
      <c r="CM115" s="5">
        <v>7</v>
      </c>
      <c r="CN115" s="5" t="s">
        <v>163</v>
      </c>
      <c r="CO115" s="5">
        <v>0</v>
      </c>
      <c r="CP115" s="5" t="s">
        <v>205</v>
      </c>
      <c r="CQ115" s="5" t="s">
        <v>164</v>
      </c>
      <c r="CR115" s="5" t="s">
        <v>1204</v>
      </c>
      <c r="CS115" s="5">
        <v>7</v>
      </c>
      <c r="CT115" s="5" t="b">
        <v>0</v>
      </c>
      <c r="CU115" s="5" t="s">
        <v>165</v>
      </c>
      <c r="CV115" s="5" t="b">
        <v>1</v>
      </c>
      <c r="CW115" s="5" t="b">
        <v>0</v>
      </c>
      <c r="CX115" s="5">
        <v>1</v>
      </c>
      <c r="CY115" s="5">
        <v>2</v>
      </c>
      <c r="CZ115" s="5" t="b">
        <v>0</v>
      </c>
      <c r="DA115" s="5" t="b">
        <v>0</v>
      </c>
      <c r="DB115" s="5" t="b">
        <v>0</v>
      </c>
      <c r="DC115" s="5" t="s">
        <v>166</v>
      </c>
      <c r="DD115" s="5" t="s">
        <v>167</v>
      </c>
      <c r="DE115" s="5" t="s">
        <v>168</v>
      </c>
      <c r="DF115" s="5">
        <v>0.5</v>
      </c>
      <c r="DG115" s="5">
        <v>10</v>
      </c>
      <c r="DH115" s="5">
        <v>0.3</v>
      </c>
      <c r="DI115" s="5">
        <v>1</v>
      </c>
      <c r="DJ115" s="5">
        <v>1</v>
      </c>
      <c r="DK115" s="5" t="s">
        <v>169</v>
      </c>
      <c r="DL115" s="5" t="b">
        <v>0</v>
      </c>
      <c r="DM115" s="5">
        <v>32</v>
      </c>
      <c r="DN115" s="5">
        <v>1</v>
      </c>
      <c r="DO115" s="5" t="s">
        <v>170</v>
      </c>
      <c r="DP115" s="5" t="s">
        <v>1206</v>
      </c>
      <c r="DQ115" s="5" t="s">
        <v>171</v>
      </c>
      <c r="DR115" s="5" t="s">
        <v>172</v>
      </c>
      <c r="DS115" s="7" t="str">
        <f>_xlfn.XLOOKUP(CP115,datasetmap!B:B,datasetmap!A:A)</f>
        <v>SRS2</v>
      </c>
      <c r="DT115" s="8">
        <f t="shared" si="1"/>
        <v>1.185639936</v>
      </c>
    </row>
    <row r="116" ht="17.6" spans="1:124">
      <c r="A116" s="5" t="s">
        <v>1208</v>
      </c>
      <c r="B116" s="5">
        <v>32</v>
      </c>
      <c r="C116" s="5" t="s">
        <v>141</v>
      </c>
      <c r="D116" s="5" t="s">
        <v>1209</v>
      </c>
      <c r="E116" s="5" t="s">
        <v>1210</v>
      </c>
      <c r="F116" s="5" t="s">
        <v>1211</v>
      </c>
      <c r="G116" s="6">
        <v>1.77891937243818e+18</v>
      </c>
      <c r="H116" s="5">
        <v>0.875231641315998</v>
      </c>
      <c r="I116" s="5">
        <v>0.862355333726808</v>
      </c>
      <c r="J116" s="5">
        <v>0.396788148</v>
      </c>
      <c r="K116" s="5">
        <v>0.875231641315998</v>
      </c>
      <c r="L116" s="6">
        <v>1.77891937243807e+18</v>
      </c>
      <c r="M116" s="5">
        <v>0.863481228668942</v>
      </c>
      <c r="N116" s="6">
        <v>1.77891937352354e+18</v>
      </c>
      <c r="O116" s="6">
        <v>1.77891935289491e+18</v>
      </c>
      <c r="P116" s="5">
        <v>17.381840916</v>
      </c>
      <c r="Q116" s="5">
        <v>0.25</v>
      </c>
      <c r="R116" s="5">
        <v>6</v>
      </c>
      <c r="S116" s="5" t="s">
        <v>145</v>
      </c>
      <c r="T116" s="5" t="s">
        <v>146</v>
      </c>
      <c r="U116" s="5" t="b">
        <v>0</v>
      </c>
      <c r="V116" s="5">
        <v>25</v>
      </c>
      <c r="W116" s="5">
        <v>0</v>
      </c>
      <c r="X116" s="5">
        <v>10</v>
      </c>
      <c r="Y116" s="5">
        <v>8</v>
      </c>
      <c r="Z116" s="5" t="b">
        <v>0</v>
      </c>
      <c r="AA116" s="5">
        <v>4</v>
      </c>
      <c r="AB116" s="5" t="b">
        <v>0</v>
      </c>
      <c r="AC116" s="5" t="b">
        <v>0</v>
      </c>
      <c r="AD116" s="5" t="s">
        <v>147</v>
      </c>
      <c r="AE116" s="5" t="s">
        <v>1212</v>
      </c>
      <c r="AF116" s="5">
        <v>1</v>
      </c>
      <c r="AG116" s="5" t="b">
        <v>0</v>
      </c>
      <c r="AH116" s="5" t="b">
        <v>0</v>
      </c>
      <c r="AI116" s="5" t="s">
        <v>149</v>
      </c>
      <c r="AJ116" s="5">
        <v>3</v>
      </c>
      <c r="AK116" s="5" t="b">
        <v>0</v>
      </c>
      <c r="AL116" s="5">
        <v>2</v>
      </c>
      <c r="AM116" s="5">
        <v>0</v>
      </c>
      <c r="AN116" s="5">
        <v>0</v>
      </c>
      <c r="AO116" s="5" t="b">
        <v>0</v>
      </c>
      <c r="AP116" s="5">
        <v>0.001</v>
      </c>
      <c r="AQ116" s="5">
        <v>256</v>
      </c>
      <c r="AR116" s="5" t="b">
        <v>1</v>
      </c>
      <c r="AS116" s="5">
        <v>1</v>
      </c>
      <c r="AT116" s="5">
        <v>3</v>
      </c>
      <c r="AU116" s="5">
        <v>0.1</v>
      </c>
      <c r="AV116" s="5">
        <v>0.1</v>
      </c>
      <c r="AW116" s="5" t="b">
        <v>0</v>
      </c>
      <c r="AX116" s="5">
        <v>32</v>
      </c>
      <c r="AY116" s="5">
        <v>1234</v>
      </c>
      <c r="AZ116" s="5">
        <v>1</v>
      </c>
      <c r="BA116" s="5">
        <v>16</v>
      </c>
      <c r="BB116" s="5" t="s">
        <v>211</v>
      </c>
      <c r="BC116" s="5" t="s">
        <v>151</v>
      </c>
      <c r="BD116" s="5">
        <v>10</v>
      </c>
      <c r="BE116" s="5" t="b">
        <v>0</v>
      </c>
      <c r="BF116" s="5" t="s">
        <v>152</v>
      </c>
      <c r="BG116" s="5" t="s">
        <v>1213</v>
      </c>
      <c r="BH116" s="5">
        <v>0</v>
      </c>
      <c r="BI116" s="5" t="s">
        <v>154</v>
      </c>
      <c r="BJ116" s="5">
        <v>2</v>
      </c>
      <c r="BK116" s="5"/>
      <c r="BL116" s="5" t="b">
        <v>0</v>
      </c>
      <c r="BM116" s="5">
        <v>0</v>
      </c>
      <c r="BN116" s="5">
        <v>0</v>
      </c>
      <c r="BO116" s="5" t="s">
        <v>155</v>
      </c>
      <c r="BP116" s="5">
        <v>128</v>
      </c>
      <c r="BQ116" s="5" t="s">
        <v>156</v>
      </c>
      <c r="BR116" s="5">
        <v>2</v>
      </c>
      <c r="BS116" s="5" t="s">
        <v>157</v>
      </c>
      <c r="BT116" s="5">
        <v>0</v>
      </c>
      <c r="BU116" s="5">
        <v>96</v>
      </c>
      <c r="BV116" s="5" t="b">
        <v>0</v>
      </c>
      <c r="BW116" s="5">
        <v>1000</v>
      </c>
      <c r="BX116" s="5">
        <v>0.3</v>
      </c>
      <c r="BY116" s="5" t="b">
        <v>0</v>
      </c>
      <c r="BZ116" s="5" t="s">
        <v>1214</v>
      </c>
      <c r="CA116" s="5" t="s">
        <v>13</v>
      </c>
      <c r="CB116" s="5" t="s">
        <v>1215</v>
      </c>
      <c r="CC116" s="5" t="s">
        <v>160</v>
      </c>
      <c r="CD116" s="5">
        <v>896</v>
      </c>
      <c r="CE116" s="5">
        <v>32</v>
      </c>
      <c r="CF116" s="5" t="b">
        <v>0</v>
      </c>
      <c r="CG116" s="5" t="s">
        <v>161</v>
      </c>
      <c r="CH116" s="5">
        <v>48</v>
      </c>
      <c r="CI116" s="5">
        <v>1</v>
      </c>
      <c r="CJ116" s="5">
        <v>0.25</v>
      </c>
      <c r="CK116" s="5">
        <v>7</v>
      </c>
      <c r="CL116" s="5" t="s">
        <v>1216</v>
      </c>
      <c r="CM116" s="5">
        <v>7</v>
      </c>
      <c r="CN116" s="5" t="s">
        <v>163</v>
      </c>
      <c r="CO116" s="5">
        <v>0</v>
      </c>
      <c r="CP116" s="5" t="s">
        <v>216</v>
      </c>
      <c r="CQ116" s="5" t="s">
        <v>164</v>
      </c>
      <c r="CR116" s="5" t="s">
        <v>1213</v>
      </c>
      <c r="CS116" s="5">
        <v>6</v>
      </c>
      <c r="CT116" s="5" t="b">
        <v>0</v>
      </c>
      <c r="CU116" s="5" t="s">
        <v>165</v>
      </c>
      <c r="CV116" s="5" t="b">
        <v>1</v>
      </c>
      <c r="CW116" s="5" t="b">
        <v>0</v>
      </c>
      <c r="CX116" s="5">
        <v>1</v>
      </c>
      <c r="CY116" s="5">
        <v>2</v>
      </c>
      <c r="CZ116" s="5" t="b">
        <v>0</v>
      </c>
      <c r="DA116" s="5" t="b">
        <v>0</v>
      </c>
      <c r="DB116" s="5" t="b">
        <v>0</v>
      </c>
      <c r="DC116" s="5" t="s">
        <v>166</v>
      </c>
      <c r="DD116" s="5" t="s">
        <v>167</v>
      </c>
      <c r="DE116" s="5" t="s">
        <v>168</v>
      </c>
      <c r="DF116" s="5">
        <v>0.5</v>
      </c>
      <c r="DG116" s="5">
        <v>10</v>
      </c>
      <c r="DH116" s="5">
        <v>0.3</v>
      </c>
      <c r="DI116" s="5">
        <v>1</v>
      </c>
      <c r="DJ116" s="5">
        <v>1</v>
      </c>
      <c r="DK116" s="5" t="s">
        <v>169</v>
      </c>
      <c r="DL116" s="5" t="b">
        <v>0</v>
      </c>
      <c r="DM116" s="5">
        <v>32</v>
      </c>
      <c r="DN116" s="5">
        <v>1</v>
      </c>
      <c r="DO116" s="5" t="s">
        <v>170</v>
      </c>
      <c r="DP116" s="5" t="s">
        <v>1215</v>
      </c>
      <c r="DQ116" s="5" t="s">
        <v>171</v>
      </c>
      <c r="DR116" s="5" t="s">
        <v>172</v>
      </c>
      <c r="DS116" s="7" t="str">
        <f>_xlfn.XLOOKUP(CP116,datasetmap!B:B,datasetmap!A:A)</f>
        <v>SRS1</v>
      </c>
      <c r="DT116" s="8">
        <f t="shared" si="1"/>
        <v>1.085359872</v>
      </c>
    </row>
    <row r="117" ht="17.6" spans="1:124">
      <c r="A117" s="5" t="s">
        <v>1217</v>
      </c>
      <c r="B117" s="5">
        <v>32</v>
      </c>
      <c r="C117" s="5" t="s">
        <v>141</v>
      </c>
      <c r="D117" s="5" t="s">
        <v>1218</v>
      </c>
      <c r="E117" s="5" t="s">
        <v>1219</v>
      </c>
      <c r="F117" s="5" t="s">
        <v>1220</v>
      </c>
      <c r="G117" s="6">
        <v>1.77891933303537e+18</v>
      </c>
      <c r="H117" s="5">
        <v>0.97908536935937</v>
      </c>
      <c r="I117" s="5">
        <v>0.978474942704386</v>
      </c>
      <c r="J117" s="5">
        <v>0.421914367</v>
      </c>
      <c r="K117" s="5">
        <v>0.97908536935937</v>
      </c>
      <c r="L117" s="6">
        <v>1.77891933303529e+18</v>
      </c>
      <c r="M117" s="5">
        <v>0.978378378378378</v>
      </c>
      <c r="N117" s="6">
        <v>1.77891933427519e+18</v>
      </c>
      <c r="O117" s="6">
        <v>1.77891929023419e+18</v>
      </c>
      <c r="P117" s="5">
        <v>41.009643992</v>
      </c>
      <c r="Q117" s="5">
        <v>0.25</v>
      </c>
      <c r="R117" s="5">
        <v>6</v>
      </c>
      <c r="S117" s="5" t="s">
        <v>145</v>
      </c>
      <c r="T117" s="5" t="s">
        <v>146</v>
      </c>
      <c r="U117" s="5" t="b">
        <v>0</v>
      </c>
      <c r="V117" s="5">
        <v>25</v>
      </c>
      <c r="W117" s="5">
        <v>0</v>
      </c>
      <c r="X117" s="5">
        <v>10</v>
      </c>
      <c r="Y117" s="5">
        <v>8</v>
      </c>
      <c r="Z117" s="5" t="b">
        <v>0</v>
      </c>
      <c r="AA117" s="5">
        <v>4</v>
      </c>
      <c r="AB117" s="5" t="b">
        <v>0</v>
      </c>
      <c r="AC117" s="5" t="b">
        <v>0</v>
      </c>
      <c r="AD117" s="5" t="s">
        <v>147</v>
      </c>
      <c r="AE117" s="5" t="s">
        <v>1221</v>
      </c>
      <c r="AF117" s="5">
        <v>1</v>
      </c>
      <c r="AG117" s="5" t="b">
        <v>0</v>
      </c>
      <c r="AH117" s="5" t="b">
        <v>0</v>
      </c>
      <c r="AI117" s="5" t="s">
        <v>149</v>
      </c>
      <c r="AJ117" s="5">
        <v>3</v>
      </c>
      <c r="AK117" s="5" t="b">
        <v>0</v>
      </c>
      <c r="AL117" s="5">
        <v>9</v>
      </c>
      <c r="AM117" s="5">
        <v>0</v>
      </c>
      <c r="AN117" s="5">
        <v>0</v>
      </c>
      <c r="AO117" s="5" t="b">
        <v>0</v>
      </c>
      <c r="AP117" s="5">
        <v>0.001</v>
      </c>
      <c r="AQ117" s="5">
        <v>256</v>
      </c>
      <c r="AR117" s="5" t="b">
        <v>1</v>
      </c>
      <c r="AS117" s="5">
        <v>1</v>
      </c>
      <c r="AT117" s="5">
        <v>3</v>
      </c>
      <c r="AU117" s="5">
        <v>0.1</v>
      </c>
      <c r="AV117" s="5">
        <v>0.1</v>
      </c>
      <c r="AW117" s="5" t="b">
        <v>0</v>
      </c>
      <c r="AX117" s="5">
        <v>32</v>
      </c>
      <c r="AY117" s="5">
        <v>1234</v>
      </c>
      <c r="AZ117" s="5">
        <v>1</v>
      </c>
      <c r="BA117" s="5">
        <v>16</v>
      </c>
      <c r="BB117" s="5" t="s">
        <v>222</v>
      </c>
      <c r="BC117" s="5" t="s">
        <v>151</v>
      </c>
      <c r="BD117" s="5">
        <v>10</v>
      </c>
      <c r="BE117" s="5" t="b">
        <v>0</v>
      </c>
      <c r="BF117" s="5" t="s">
        <v>152</v>
      </c>
      <c r="BG117" s="5" t="s">
        <v>1222</v>
      </c>
      <c r="BH117" s="5">
        <v>0</v>
      </c>
      <c r="BI117" s="5" t="s">
        <v>154</v>
      </c>
      <c r="BJ117" s="5">
        <v>2</v>
      </c>
      <c r="BK117" s="5"/>
      <c r="BL117" s="5" t="b">
        <v>0</v>
      </c>
      <c r="BM117" s="5">
        <v>0</v>
      </c>
      <c r="BN117" s="5">
        <v>0</v>
      </c>
      <c r="BO117" s="5" t="s">
        <v>155</v>
      </c>
      <c r="BP117" s="5">
        <v>128</v>
      </c>
      <c r="BQ117" s="5" t="s">
        <v>156</v>
      </c>
      <c r="BR117" s="5">
        <v>2</v>
      </c>
      <c r="BS117" s="5" t="s">
        <v>157</v>
      </c>
      <c r="BT117" s="5">
        <v>0</v>
      </c>
      <c r="BU117" s="5">
        <v>96</v>
      </c>
      <c r="BV117" s="5" t="b">
        <v>0</v>
      </c>
      <c r="BW117" s="5">
        <v>1000</v>
      </c>
      <c r="BX117" s="5">
        <v>0.3</v>
      </c>
      <c r="BY117" s="5" t="b">
        <v>0</v>
      </c>
      <c r="BZ117" s="5" t="s">
        <v>1223</v>
      </c>
      <c r="CA117" s="5" t="s">
        <v>13</v>
      </c>
      <c r="CB117" s="5" t="s">
        <v>1224</v>
      </c>
      <c r="CC117" s="5" t="s">
        <v>160</v>
      </c>
      <c r="CD117" s="5">
        <v>29</v>
      </c>
      <c r="CE117" s="5">
        <v>32</v>
      </c>
      <c r="CF117" s="5" t="b">
        <v>0</v>
      </c>
      <c r="CG117" s="5" t="s">
        <v>161</v>
      </c>
      <c r="CH117" s="5">
        <v>48</v>
      </c>
      <c r="CI117" s="5">
        <v>1</v>
      </c>
      <c r="CJ117" s="5">
        <v>0.25</v>
      </c>
      <c r="CK117" s="5">
        <v>7</v>
      </c>
      <c r="CL117" s="5" t="s">
        <v>1225</v>
      </c>
      <c r="CM117" s="5">
        <v>7</v>
      </c>
      <c r="CN117" s="5" t="s">
        <v>163</v>
      </c>
      <c r="CO117" s="5">
        <v>0</v>
      </c>
      <c r="CP117" s="5" t="s">
        <v>227</v>
      </c>
      <c r="CQ117" s="5" t="s">
        <v>164</v>
      </c>
      <c r="CR117" s="5" t="s">
        <v>1222</v>
      </c>
      <c r="CS117" s="5">
        <v>12</v>
      </c>
      <c r="CT117" s="5" t="b">
        <v>0</v>
      </c>
      <c r="CU117" s="5" t="s">
        <v>165</v>
      </c>
      <c r="CV117" s="5" t="b">
        <v>1</v>
      </c>
      <c r="CW117" s="5" t="b">
        <v>0</v>
      </c>
      <c r="CX117" s="5">
        <v>1</v>
      </c>
      <c r="CY117" s="5">
        <v>2</v>
      </c>
      <c r="CZ117" s="5" t="b">
        <v>0</v>
      </c>
      <c r="DA117" s="5" t="b">
        <v>0</v>
      </c>
      <c r="DB117" s="5" t="b">
        <v>0</v>
      </c>
      <c r="DC117" s="5" t="s">
        <v>166</v>
      </c>
      <c r="DD117" s="5" t="s">
        <v>167</v>
      </c>
      <c r="DE117" s="5" t="s">
        <v>168</v>
      </c>
      <c r="DF117" s="5">
        <v>0.5</v>
      </c>
      <c r="DG117" s="5">
        <v>10</v>
      </c>
      <c r="DH117" s="5">
        <v>0.3</v>
      </c>
      <c r="DI117" s="5">
        <v>1</v>
      </c>
      <c r="DJ117" s="5">
        <v>1</v>
      </c>
      <c r="DK117" s="5" t="s">
        <v>169</v>
      </c>
      <c r="DL117" s="5" t="b">
        <v>0</v>
      </c>
      <c r="DM117" s="5">
        <v>32</v>
      </c>
      <c r="DN117" s="5">
        <v>1</v>
      </c>
      <c r="DO117" s="5" t="s">
        <v>170</v>
      </c>
      <c r="DP117" s="5" t="s">
        <v>1224</v>
      </c>
      <c r="DQ117" s="5" t="s">
        <v>171</v>
      </c>
      <c r="DR117" s="5" t="s">
        <v>172</v>
      </c>
      <c r="DS117" s="7" t="str">
        <f>_xlfn.XLOOKUP(CP117,datasetmap!B:B,datasetmap!A:A)</f>
        <v>JV</v>
      </c>
      <c r="DT117" s="8">
        <f t="shared" si="1"/>
        <v>1.239820032</v>
      </c>
    </row>
    <row r="118" ht="17.6" spans="1:124">
      <c r="A118" s="5" t="s">
        <v>1226</v>
      </c>
      <c r="B118" s="5">
        <v>32</v>
      </c>
      <c r="C118" s="5" t="s">
        <v>141</v>
      </c>
      <c r="D118" s="5" t="s">
        <v>1227</v>
      </c>
      <c r="E118" s="5" t="s">
        <v>1228</v>
      </c>
      <c r="F118" s="5" t="s">
        <v>1229</v>
      </c>
      <c r="G118" s="6">
        <v>1.77891927167474e+18</v>
      </c>
      <c r="H118" s="5">
        <v>0.776057753575111</v>
      </c>
      <c r="I118" s="5">
        <v>0.778553998209665</v>
      </c>
      <c r="J118" s="5">
        <v>0.447753208</v>
      </c>
      <c r="K118" s="5">
        <v>0.776057753575111</v>
      </c>
      <c r="L118" s="6">
        <v>1.77891927167467e+18</v>
      </c>
      <c r="M118" s="5">
        <v>0.785365853658536</v>
      </c>
      <c r="N118" s="6">
        <v>1.77891927516127e+18</v>
      </c>
      <c r="O118" s="6">
        <v>1.77891922325246e+18</v>
      </c>
      <c r="P118" s="5">
        <v>40.097080592</v>
      </c>
      <c r="Q118" s="5">
        <v>0.25</v>
      </c>
      <c r="R118" s="5">
        <v>6</v>
      </c>
      <c r="S118" s="5" t="s">
        <v>145</v>
      </c>
      <c r="T118" s="5" t="s">
        <v>146</v>
      </c>
      <c r="U118" s="5" t="b">
        <v>0</v>
      </c>
      <c r="V118" s="5">
        <v>25</v>
      </c>
      <c r="W118" s="5">
        <v>0</v>
      </c>
      <c r="X118" s="5">
        <v>10</v>
      </c>
      <c r="Y118" s="5">
        <v>8</v>
      </c>
      <c r="Z118" s="5" t="b">
        <v>0</v>
      </c>
      <c r="AA118" s="5">
        <v>4</v>
      </c>
      <c r="AB118" s="5" t="b">
        <v>0</v>
      </c>
      <c r="AC118" s="5" t="b">
        <v>0</v>
      </c>
      <c r="AD118" s="5" t="s">
        <v>147</v>
      </c>
      <c r="AE118" s="5" t="s">
        <v>1230</v>
      </c>
      <c r="AF118" s="5">
        <v>1</v>
      </c>
      <c r="AG118" s="5" t="b">
        <v>0</v>
      </c>
      <c r="AH118" s="5" t="b">
        <v>0</v>
      </c>
      <c r="AI118" s="5" t="s">
        <v>149</v>
      </c>
      <c r="AJ118" s="5">
        <v>3</v>
      </c>
      <c r="AK118" s="5" t="b">
        <v>0</v>
      </c>
      <c r="AL118" s="5">
        <v>2</v>
      </c>
      <c r="AM118" s="5">
        <v>0</v>
      </c>
      <c r="AN118" s="5">
        <v>0</v>
      </c>
      <c r="AO118" s="5" t="b">
        <v>0</v>
      </c>
      <c r="AP118" s="5">
        <v>0.001</v>
      </c>
      <c r="AQ118" s="5">
        <v>256</v>
      </c>
      <c r="AR118" s="5" t="b">
        <v>1</v>
      </c>
      <c r="AS118" s="5">
        <v>1</v>
      </c>
      <c r="AT118" s="5">
        <v>3</v>
      </c>
      <c r="AU118" s="5">
        <v>0.1</v>
      </c>
      <c r="AV118" s="5">
        <v>0.1</v>
      </c>
      <c r="AW118" s="5" t="b">
        <v>0</v>
      </c>
      <c r="AX118" s="5">
        <v>32</v>
      </c>
      <c r="AY118" s="5">
        <v>1234</v>
      </c>
      <c r="AZ118" s="5">
        <v>1</v>
      </c>
      <c r="BA118" s="5">
        <v>16</v>
      </c>
      <c r="BB118" s="5" t="s">
        <v>233</v>
      </c>
      <c r="BC118" s="5" t="s">
        <v>151</v>
      </c>
      <c r="BD118" s="5">
        <v>10</v>
      </c>
      <c r="BE118" s="5" t="b">
        <v>0</v>
      </c>
      <c r="BF118" s="5" t="s">
        <v>152</v>
      </c>
      <c r="BG118" s="5" t="s">
        <v>1231</v>
      </c>
      <c r="BH118" s="5">
        <v>0</v>
      </c>
      <c r="BI118" s="5" t="s">
        <v>154</v>
      </c>
      <c r="BJ118" s="5">
        <v>2</v>
      </c>
      <c r="BK118" s="5"/>
      <c r="BL118" s="5" t="b">
        <v>0</v>
      </c>
      <c r="BM118" s="5">
        <v>0</v>
      </c>
      <c r="BN118" s="5">
        <v>0</v>
      </c>
      <c r="BO118" s="5" t="s">
        <v>155</v>
      </c>
      <c r="BP118" s="5">
        <v>128</v>
      </c>
      <c r="BQ118" s="5" t="s">
        <v>156</v>
      </c>
      <c r="BR118" s="5">
        <v>2</v>
      </c>
      <c r="BS118" s="5" t="s">
        <v>157</v>
      </c>
      <c r="BT118" s="5">
        <v>0</v>
      </c>
      <c r="BU118" s="5">
        <v>96</v>
      </c>
      <c r="BV118" s="5" t="b">
        <v>0</v>
      </c>
      <c r="BW118" s="5">
        <v>1000</v>
      </c>
      <c r="BX118" s="5">
        <v>0.3</v>
      </c>
      <c r="BY118" s="5" t="b">
        <v>0</v>
      </c>
      <c r="BZ118" s="5" t="s">
        <v>1232</v>
      </c>
      <c r="CA118" s="5" t="s">
        <v>13</v>
      </c>
      <c r="CB118" s="5" t="s">
        <v>1233</v>
      </c>
      <c r="CC118" s="5" t="s">
        <v>160</v>
      </c>
      <c r="CD118" s="5">
        <v>405</v>
      </c>
      <c r="CE118" s="5">
        <v>32</v>
      </c>
      <c r="CF118" s="5" t="b">
        <v>0</v>
      </c>
      <c r="CG118" s="5" t="s">
        <v>161</v>
      </c>
      <c r="CH118" s="5">
        <v>48</v>
      </c>
      <c r="CI118" s="5">
        <v>1</v>
      </c>
      <c r="CJ118" s="5">
        <v>0.25</v>
      </c>
      <c r="CK118" s="5">
        <v>7</v>
      </c>
      <c r="CL118" s="5" t="s">
        <v>1234</v>
      </c>
      <c r="CM118" s="5">
        <v>7</v>
      </c>
      <c r="CN118" s="5" t="s">
        <v>163</v>
      </c>
      <c r="CO118" s="5">
        <v>0</v>
      </c>
      <c r="CP118" s="5" t="s">
        <v>238</v>
      </c>
      <c r="CQ118" s="5" t="s">
        <v>164</v>
      </c>
      <c r="CR118" s="5" t="s">
        <v>1231</v>
      </c>
      <c r="CS118" s="5">
        <v>61</v>
      </c>
      <c r="CT118" s="5" t="b">
        <v>0</v>
      </c>
      <c r="CU118" s="5" t="s">
        <v>165</v>
      </c>
      <c r="CV118" s="5" t="b">
        <v>1</v>
      </c>
      <c r="CW118" s="5" t="b">
        <v>0</v>
      </c>
      <c r="CX118" s="5">
        <v>1</v>
      </c>
      <c r="CY118" s="5">
        <v>2</v>
      </c>
      <c r="CZ118" s="5" t="b">
        <v>0</v>
      </c>
      <c r="DA118" s="5" t="b">
        <v>0</v>
      </c>
      <c r="DB118" s="5" t="b">
        <v>0</v>
      </c>
      <c r="DC118" s="5" t="s">
        <v>166</v>
      </c>
      <c r="DD118" s="5" t="s">
        <v>167</v>
      </c>
      <c r="DE118" s="5" t="s">
        <v>168</v>
      </c>
      <c r="DF118" s="5">
        <v>0.5</v>
      </c>
      <c r="DG118" s="5">
        <v>10</v>
      </c>
      <c r="DH118" s="5">
        <v>0.3</v>
      </c>
      <c r="DI118" s="5">
        <v>1</v>
      </c>
      <c r="DJ118" s="5">
        <v>1</v>
      </c>
      <c r="DK118" s="5" t="s">
        <v>169</v>
      </c>
      <c r="DL118" s="5" t="b">
        <v>0</v>
      </c>
      <c r="DM118" s="5">
        <v>32</v>
      </c>
      <c r="DN118" s="5">
        <v>1</v>
      </c>
      <c r="DO118" s="5" t="s">
        <v>170</v>
      </c>
      <c r="DP118" s="5" t="s">
        <v>1233</v>
      </c>
      <c r="DQ118" s="5" t="s">
        <v>171</v>
      </c>
      <c r="DR118" s="5" t="s">
        <v>172</v>
      </c>
      <c r="DS118" s="7" t="str">
        <f>_xlfn.XLOOKUP(CP118,datasetmap!B:B,datasetmap!A:A)</f>
        <v>HB</v>
      </c>
      <c r="DT118" s="8">
        <f t="shared" si="1"/>
        <v>3.486530048</v>
      </c>
    </row>
    <row r="119" ht="17.6" spans="1:124">
      <c r="A119" s="5" t="s">
        <v>1235</v>
      </c>
      <c r="B119" s="5">
        <v>32</v>
      </c>
      <c r="C119" s="5" t="s">
        <v>141</v>
      </c>
      <c r="D119" s="5" t="s">
        <v>1236</v>
      </c>
      <c r="E119" s="5" t="s">
        <v>1237</v>
      </c>
      <c r="F119" s="5" t="s">
        <v>1238</v>
      </c>
      <c r="G119" s="6">
        <v>1.77891884008489e+18</v>
      </c>
      <c r="H119" s="5">
        <v>0.469702019555807</v>
      </c>
      <c r="I119" s="5">
        <v>0.442906122873202</v>
      </c>
      <c r="J119" s="5">
        <v>0.494247708</v>
      </c>
      <c r="K119" s="5">
        <v>0.469702019555807</v>
      </c>
      <c r="L119" s="6">
        <v>1.77891884008482e+18</v>
      </c>
      <c r="M119" s="5">
        <v>0.477647058823529</v>
      </c>
      <c r="N119" s="6">
        <v>1.7789188414526e+18</v>
      </c>
      <c r="O119" s="6">
        <v>1.77891873889695e+18</v>
      </c>
      <c r="P119" s="5">
        <v>99.598789962</v>
      </c>
      <c r="Q119" s="5">
        <v>0.25</v>
      </c>
      <c r="R119" s="5">
        <v>6</v>
      </c>
      <c r="S119" s="5" t="s">
        <v>145</v>
      </c>
      <c r="T119" s="5" t="s">
        <v>146</v>
      </c>
      <c r="U119" s="5" t="b">
        <v>0</v>
      </c>
      <c r="V119" s="5">
        <v>25</v>
      </c>
      <c r="W119" s="5">
        <v>0</v>
      </c>
      <c r="X119" s="5">
        <v>10</v>
      </c>
      <c r="Y119" s="5">
        <v>8</v>
      </c>
      <c r="Z119" s="5" t="b">
        <v>0</v>
      </c>
      <c r="AA119" s="5">
        <v>4</v>
      </c>
      <c r="AB119" s="5" t="b">
        <v>0</v>
      </c>
      <c r="AC119" s="5" t="b">
        <v>0</v>
      </c>
      <c r="AD119" s="5" t="s">
        <v>147</v>
      </c>
      <c r="AE119" s="5" t="s">
        <v>1239</v>
      </c>
      <c r="AF119" s="5">
        <v>1</v>
      </c>
      <c r="AG119" s="5" t="b">
        <v>0</v>
      </c>
      <c r="AH119" s="5" t="b">
        <v>0</v>
      </c>
      <c r="AI119" s="5" t="s">
        <v>149</v>
      </c>
      <c r="AJ119" s="5">
        <v>3</v>
      </c>
      <c r="AK119" s="5" t="b">
        <v>0</v>
      </c>
      <c r="AL119" s="5">
        <v>26</v>
      </c>
      <c r="AM119" s="5">
        <v>0</v>
      </c>
      <c r="AN119" s="5">
        <v>0</v>
      </c>
      <c r="AO119" s="5" t="b">
        <v>0</v>
      </c>
      <c r="AP119" s="5">
        <v>0.001</v>
      </c>
      <c r="AQ119" s="5">
        <v>256</v>
      </c>
      <c r="AR119" s="5" t="b">
        <v>1</v>
      </c>
      <c r="AS119" s="5">
        <v>1</v>
      </c>
      <c r="AT119" s="5">
        <v>3</v>
      </c>
      <c r="AU119" s="5">
        <v>0.1</v>
      </c>
      <c r="AV119" s="5">
        <v>0.1</v>
      </c>
      <c r="AW119" s="5" t="b">
        <v>0</v>
      </c>
      <c r="AX119" s="5">
        <v>32</v>
      </c>
      <c r="AY119" s="5">
        <v>1234</v>
      </c>
      <c r="AZ119" s="5">
        <v>1</v>
      </c>
      <c r="BA119" s="5">
        <v>16</v>
      </c>
      <c r="BB119" s="5" t="s">
        <v>244</v>
      </c>
      <c r="BC119" s="5" t="s">
        <v>151</v>
      </c>
      <c r="BD119" s="5">
        <v>10</v>
      </c>
      <c r="BE119" s="5" t="b">
        <v>0</v>
      </c>
      <c r="BF119" s="5" t="s">
        <v>152</v>
      </c>
      <c r="BG119" s="5" t="s">
        <v>1240</v>
      </c>
      <c r="BH119" s="5">
        <v>0</v>
      </c>
      <c r="BI119" s="5" t="s">
        <v>154</v>
      </c>
      <c r="BJ119" s="5">
        <v>2</v>
      </c>
      <c r="BK119" s="5"/>
      <c r="BL119" s="5" t="b">
        <v>0</v>
      </c>
      <c r="BM119" s="5">
        <v>0</v>
      </c>
      <c r="BN119" s="5">
        <v>0</v>
      </c>
      <c r="BO119" s="5" t="s">
        <v>155</v>
      </c>
      <c r="BP119" s="5">
        <v>128</v>
      </c>
      <c r="BQ119" s="5" t="s">
        <v>156</v>
      </c>
      <c r="BR119" s="5">
        <v>2</v>
      </c>
      <c r="BS119" s="5" t="s">
        <v>157</v>
      </c>
      <c r="BT119" s="5">
        <v>0</v>
      </c>
      <c r="BU119" s="5">
        <v>96</v>
      </c>
      <c r="BV119" s="5" t="b">
        <v>0</v>
      </c>
      <c r="BW119" s="5">
        <v>1000</v>
      </c>
      <c r="BX119" s="5">
        <v>0.3</v>
      </c>
      <c r="BY119" s="5" t="b">
        <v>0</v>
      </c>
      <c r="BZ119" s="5" t="s">
        <v>1241</v>
      </c>
      <c r="CA119" s="5" t="s">
        <v>13</v>
      </c>
      <c r="CB119" s="5" t="s">
        <v>1242</v>
      </c>
      <c r="CC119" s="5" t="s">
        <v>160</v>
      </c>
      <c r="CD119" s="5">
        <v>152</v>
      </c>
      <c r="CE119" s="5">
        <v>32</v>
      </c>
      <c r="CF119" s="5" t="b">
        <v>0</v>
      </c>
      <c r="CG119" s="5" t="s">
        <v>161</v>
      </c>
      <c r="CH119" s="5">
        <v>48</v>
      </c>
      <c r="CI119" s="5">
        <v>1</v>
      </c>
      <c r="CJ119" s="5">
        <v>0.25</v>
      </c>
      <c r="CK119" s="5">
        <v>7</v>
      </c>
      <c r="CL119" s="5" t="s">
        <v>1243</v>
      </c>
      <c r="CM119" s="5">
        <v>7</v>
      </c>
      <c r="CN119" s="5" t="s">
        <v>163</v>
      </c>
      <c r="CO119" s="5">
        <v>0</v>
      </c>
      <c r="CP119" s="5" t="s">
        <v>249</v>
      </c>
      <c r="CQ119" s="5" t="s">
        <v>164</v>
      </c>
      <c r="CR119" s="5" t="s">
        <v>1240</v>
      </c>
      <c r="CS119" s="5">
        <v>3</v>
      </c>
      <c r="CT119" s="5" t="b">
        <v>0</v>
      </c>
      <c r="CU119" s="5" t="s">
        <v>165</v>
      </c>
      <c r="CV119" s="5" t="b">
        <v>1</v>
      </c>
      <c r="CW119" s="5" t="b">
        <v>0</v>
      </c>
      <c r="CX119" s="5">
        <v>1</v>
      </c>
      <c r="CY119" s="5">
        <v>2</v>
      </c>
      <c r="CZ119" s="5" t="b">
        <v>0</v>
      </c>
      <c r="DA119" s="5" t="b">
        <v>0</v>
      </c>
      <c r="DB119" s="5" t="b">
        <v>0</v>
      </c>
      <c r="DC119" s="5" t="s">
        <v>166</v>
      </c>
      <c r="DD119" s="5" t="s">
        <v>167</v>
      </c>
      <c r="DE119" s="5" t="s">
        <v>168</v>
      </c>
      <c r="DF119" s="5">
        <v>0.5</v>
      </c>
      <c r="DG119" s="5">
        <v>10</v>
      </c>
      <c r="DH119" s="5">
        <v>0.3</v>
      </c>
      <c r="DI119" s="5">
        <v>1</v>
      </c>
      <c r="DJ119" s="5">
        <v>1</v>
      </c>
      <c r="DK119" s="5" t="s">
        <v>169</v>
      </c>
      <c r="DL119" s="5" t="b">
        <v>0</v>
      </c>
      <c r="DM119" s="5">
        <v>32</v>
      </c>
      <c r="DN119" s="5">
        <v>1</v>
      </c>
      <c r="DO119" s="5" t="s">
        <v>170</v>
      </c>
      <c r="DP119" s="5" t="s">
        <v>1242</v>
      </c>
      <c r="DQ119" s="5" t="s">
        <v>171</v>
      </c>
      <c r="DR119" s="5" t="s">
        <v>172</v>
      </c>
      <c r="DS119" s="7" t="str">
        <f>_xlfn.XLOOKUP(CP119,datasetmap!B:B,datasetmap!A:A)</f>
        <v>HW</v>
      </c>
      <c r="DT119" s="8">
        <f t="shared" si="1"/>
        <v>1.367709952</v>
      </c>
    </row>
    <row r="120" ht="17.6" spans="1:124">
      <c r="A120" s="5" t="s">
        <v>1244</v>
      </c>
      <c r="B120" s="5">
        <v>32</v>
      </c>
      <c r="C120" s="5" t="s">
        <v>141</v>
      </c>
      <c r="D120" s="5" t="s">
        <v>1245</v>
      </c>
      <c r="E120" s="5" t="s">
        <v>1246</v>
      </c>
      <c r="F120" s="5" t="s">
        <v>1247</v>
      </c>
      <c r="G120" s="6">
        <v>1.77891869709486e+18</v>
      </c>
      <c r="H120" s="5">
        <v>0.822375976624531</v>
      </c>
      <c r="I120" s="5">
        <v>0.780313169446028</v>
      </c>
      <c r="J120" s="5">
        <v>0.480813784</v>
      </c>
      <c r="K120" s="5">
        <v>0.822375976624531</v>
      </c>
      <c r="L120" s="6">
        <v>1.7789186970948e+18</v>
      </c>
      <c r="M120" s="5">
        <v>0.774566473988439</v>
      </c>
      <c r="N120" s="6">
        <v>1.7789187241847e+18</v>
      </c>
      <c r="O120" s="6">
        <v>1.77891851996046e+18</v>
      </c>
      <c r="P120" s="5">
        <v>45.717056376</v>
      </c>
      <c r="Q120" s="5">
        <v>0.25</v>
      </c>
      <c r="R120" s="5">
        <v>6</v>
      </c>
      <c r="S120" s="5" t="s">
        <v>145</v>
      </c>
      <c r="T120" s="5" t="s">
        <v>146</v>
      </c>
      <c r="U120" s="5" t="b">
        <v>0</v>
      </c>
      <c r="V120" s="5">
        <v>25</v>
      </c>
      <c r="W120" s="5">
        <v>0</v>
      </c>
      <c r="X120" s="5">
        <v>10</v>
      </c>
      <c r="Y120" s="5">
        <v>8</v>
      </c>
      <c r="Z120" s="5" t="b">
        <v>0</v>
      </c>
      <c r="AA120" s="5">
        <v>4</v>
      </c>
      <c r="AB120" s="5" t="b">
        <v>0</v>
      </c>
      <c r="AC120" s="5" t="b">
        <v>0</v>
      </c>
      <c r="AD120" s="5" t="s">
        <v>147</v>
      </c>
      <c r="AE120" s="5" t="s">
        <v>1248</v>
      </c>
      <c r="AF120" s="5">
        <v>1</v>
      </c>
      <c r="AG120" s="5" t="b">
        <v>0</v>
      </c>
      <c r="AH120" s="5" t="b">
        <v>0</v>
      </c>
      <c r="AI120" s="5" t="s">
        <v>149</v>
      </c>
      <c r="AJ120" s="5">
        <v>3</v>
      </c>
      <c r="AK120" s="5" t="b">
        <v>0</v>
      </c>
      <c r="AL120" s="5">
        <v>7</v>
      </c>
      <c r="AM120" s="5">
        <v>0</v>
      </c>
      <c r="AN120" s="5">
        <v>0</v>
      </c>
      <c r="AO120" s="5" t="b">
        <v>0</v>
      </c>
      <c r="AP120" s="5">
        <v>0.001</v>
      </c>
      <c r="AQ120" s="5">
        <v>256</v>
      </c>
      <c r="AR120" s="5" t="b">
        <v>1</v>
      </c>
      <c r="AS120" s="5">
        <v>1</v>
      </c>
      <c r="AT120" s="5">
        <v>3</v>
      </c>
      <c r="AU120" s="5">
        <v>0.1</v>
      </c>
      <c r="AV120" s="5">
        <v>0.1</v>
      </c>
      <c r="AW120" s="5" t="b">
        <v>0</v>
      </c>
      <c r="AX120" s="5">
        <v>32</v>
      </c>
      <c r="AY120" s="5">
        <v>123</v>
      </c>
      <c r="AZ120" s="5">
        <v>1</v>
      </c>
      <c r="BA120" s="5">
        <v>16</v>
      </c>
      <c r="BB120" s="5" t="s">
        <v>150</v>
      </c>
      <c r="BC120" s="5" t="s">
        <v>151</v>
      </c>
      <c r="BD120" s="5">
        <v>10</v>
      </c>
      <c r="BE120" s="5" t="b">
        <v>0</v>
      </c>
      <c r="BF120" s="5" t="s">
        <v>152</v>
      </c>
      <c r="BG120" s="5" t="s">
        <v>1249</v>
      </c>
      <c r="BH120" s="5">
        <v>0</v>
      </c>
      <c r="BI120" s="5" t="s">
        <v>154</v>
      </c>
      <c r="BJ120" s="5">
        <v>2</v>
      </c>
      <c r="BK120" s="5"/>
      <c r="BL120" s="5" t="b">
        <v>0</v>
      </c>
      <c r="BM120" s="5">
        <v>0</v>
      </c>
      <c r="BN120" s="5">
        <v>0</v>
      </c>
      <c r="BO120" s="5" t="s">
        <v>155</v>
      </c>
      <c r="BP120" s="5">
        <v>128</v>
      </c>
      <c r="BQ120" s="5" t="s">
        <v>156</v>
      </c>
      <c r="BR120" s="5">
        <v>2</v>
      </c>
      <c r="BS120" s="5" t="s">
        <v>157</v>
      </c>
      <c r="BT120" s="5">
        <v>0</v>
      </c>
      <c r="BU120" s="5">
        <v>96</v>
      </c>
      <c r="BV120" s="5" t="b">
        <v>0</v>
      </c>
      <c r="BW120" s="5">
        <v>1000</v>
      </c>
      <c r="BX120" s="5">
        <v>0.3</v>
      </c>
      <c r="BY120" s="5" t="b">
        <v>0</v>
      </c>
      <c r="BZ120" s="5" t="s">
        <v>1250</v>
      </c>
      <c r="CA120" s="5" t="s">
        <v>13</v>
      </c>
      <c r="CB120" s="5" t="s">
        <v>1251</v>
      </c>
      <c r="CC120" s="5" t="s">
        <v>160</v>
      </c>
      <c r="CD120" s="5">
        <v>144</v>
      </c>
      <c r="CE120" s="5">
        <v>32</v>
      </c>
      <c r="CF120" s="5" t="b">
        <v>0</v>
      </c>
      <c r="CG120" s="5" t="s">
        <v>161</v>
      </c>
      <c r="CH120" s="5">
        <v>48</v>
      </c>
      <c r="CI120" s="5">
        <v>1</v>
      </c>
      <c r="CJ120" s="5">
        <v>0.25</v>
      </c>
      <c r="CK120" s="5">
        <v>7</v>
      </c>
      <c r="CL120" s="5" t="s">
        <v>1252</v>
      </c>
      <c r="CM120" s="5">
        <v>7</v>
      </c>
      <c r="CN120" s="5" t="s">
        <v>163</v>
      </c>
      <c r="CO120" s="5">
        <v>0</v>
      </c>
      <c r="CP120" s="5" t="s">
        <v>8</v>
      </c>
      <c r="CQ120" s="5" t="s">
        <v>164</v>
      </c>
      <c r="CR120" s="5" t="s">
        <v>1249</v>
      </c>
      <c r="CS120" s="5">
        <v>963</v>
      </c>
      <c r="CT120" s="5" t="b">
        <v>0</v>
      </c>
      <c r="CU120" s="5" t="s">
        <v>165</v>
      </c>
      <c r="CV120" s="5" t="b">
        <v>1</v>
      </c>
      <c r="CW120" s="5" t="b">
        <v>0</v>
      </c>
      <c r="CX120" s="5">
        <v>1</v>
      </c>
      <c r="CY120" s="5">
        <v>2</v>
      </c>
      <c r="CZ120" s="5" t="b">
        <v>0</v>
      </c>
      <c r="DA120" s="5" t="b">
        <v>0</v>
      </c>
      <c r="DB120" s="5" t="b">
        <v>0</v>
      </c>
      <c r="DC120" s="5" t="s">
        <v>166</v>
      </c>
      <c r="DD120" s="5" t="s">
        <v>167</v>
      </c>
      <c r="DE120" s="5" t="s">
        <v>168</v>
      </c>
      <c r="DF120" s="5">
        <v>0.5</v>
      </c>
      <c r="DG120" s="5">
        <v>10</v>
      </c>
      <c r="DH120" s="5">
        <v>0.3</v>
      </c>
      <c r="DI120" s="5">
        <v>1</v>
      </c>
      <c r="DJ120" s="5">
        <v>1</v>
      </c>
      <c r="DK120" s="5" t="s">
        <v>169</v>
      </c>
      <c r="DL120" s="5" t="b">
        <v>0</v>
      </c>
      <c r="DM120" s="5">
        <v>32</v>
      </c>
      <c r="DN120" s="5">
        <v>1</v>
      </c>
      <c r="DO120" s="5" t="s">
        <v>170</v>
      </c>
      <c r="DP120" s="5" t="s">
        <v>1251</v>
      </c>
      <c r="DQ120" s="5" t="s">
        <v>171</v>
      </c>
      <c r="DR120" s="5" t="s">
        <v>172</v>
      </c>
      <c r="DS120" s="7" t="str">
        <f>_xlfn.XLOOKUP(CP120,datasetmap!B:B,datasetmap!A:A)</f>
        <v>PEMS-SF</v>
      </c>
      <c r="DT120" s="8">
        <f t="shared" si="1"/>
        <v>27.089839872</v>
      </c>
    </row>
    <row r="121" ht="17.6" spans="1:124">
      <c r="A121" s="5" t="s">
        <v>1253</v>
      </c>
      <c r="B121" s="5">
        <v>32</v>
      </c>
      <c r="C121" s="5" t="s">
        <v>141</v>
      </c>
      <c r="D121" s="5" t="s">
        <v>1254</v>
      </c>
      <c r="E121" s="5" t="s">
        <v>1255</v>
      </c>
      <c r="F121" s="5" t="s">
        <v>1256</v>
      </c>
      <c r="G121" s="6">
        <v>1.77891865775644e+18</v>
      </c>
      <c r="H121" s="5">
        <v>0.276003900659723</v>
      </c>
      <c r="I121" s="5">
        <v>0.264452031040138</v>
      </c>
      <c r="J121" s="5">
        <v>1.019676814</v>
      </c>
      <c r="K121" s="5">
        <v>0.276003900659723</v>
      </c>
      <c r="L121" s="6">
        <v>1.77891865775639e+18</v>
      </c>
      <c r="M121" s="5">
        <v>0.281368821292775</v>
      </c>
      <c r="N121" s="6">
        <v>1.77891865934803e+18</v>
      </c>
      <c r="O121" s="6">
        <v>1.77891858986432e+18</v>
      </c>
      <c r="P121" s="5">
        <v>66.164891266</v>
      </c>
      <c r="Q121" s="5">
        <v>0.25</v>
      </c>
      <c r="R121" s="5">
        <v>6</v>
      </c>
      <c r="S121" s="5" t="s">
        <v>145</v>
      </c>
      <c r="T121" s="5" t="s">
        <v>146</v>
      </c>
      <c r="U121" s="5" t="b">
        <v>0</v>
      </c>
      <c r="V121" s="5">
        <v>25</v>
      </c>
      <c r="W121" s="5">
        <v>0</v>
      </c>
      <c r="X121" s="5">
        <v>10</v>
      </c>
      <c r="Y121" s="5">
        <v>8</v>
      </c>
      <c r="Z121" s="5" t="b">
        <v>0</v>
      </c>
      <c r="AA121" s="5">
        <v>4</v>
      </c>
      <c r="AB121" s="5" t="b">
        <v>0</v>
      </c>
      <c r="AC121" s="5" t="b">
        <v>0</v>
      </c>
      <c r="AD121" s="5" t="s">
        <v>147</v>
      </c>
      <c r="AE121" s="5" t="s">
        <v>1257</v>
      </c>
      <c r="AF121" s="5">
        <v>1</v>
      </c>
      <c r="AG121" s="5" t="b">
        <v>0</v>
      </c>
      <c r="AH121" s="5" t="b">
        <v>0</v>
      </c>
      <c r="AI121" s="5" t="s">
        <v>149</v>
      </c>
      <c r="AJ121" s="5">
        <v>3</v>
      </c>
      <c r="AK121" s="5" t="b">
        <v>0</v>
      </c>
      <c r="AL121" s="5">
        <v>4</v>
      </c>
      <c r="AM121" s="5">
        <v>0</v>
      </c>
      <c r="AN121" s="5">
        <v>0</v>
      </c>
      <c r="AO121" s="5" t="b">
        <v>0</v>
      </c>
      <c r="AP121" s="5">
        <v>0.001</v>
      </c>
      <c r="AQ121" s="5">
        <v>256</v>
      </c>
      <c r="AR121" s="5" t="b">
        <v>1</v>
      </c>
      <c r="AS121" s="5">
        <v>1</v>
      </c>
      <c r="AT121" s="5">
        <v>3</v>
      </c>
      <c r="AU121" s="5">
        <v>0.1</v>
      </c>
      <c r="AV121" s="5">
        <v>0.1</v>
      </c>
      <c r="AW121" s="5" t="b">
        <v>0</v>
      </c>
      <c r="AX121" s="5">
        <v>32</v>
      </c>
      <c r="AY121" s="5">
        <v>1234</v>
      </c>
      <c r="AZ121" s="5">
        <v>1</v>
      </c>
      <c r="BA121" s="5">
        <v>16</v>
      </c>
      <c r="BB121" s="5" t="s">
        <v>264</v>
      </c>
      <c r="BC121" s="5" t="s">
        <v>151</v>
      </c>
      <c r="BD121" s="5">
        <v>10</v>
      </c>
      <c r="BE121" s="5" t="b">
        <v>0</v>
      </c>
      <c r="BF121" s="5" t="s">
        <v>152</v>
      </c>
      <c r="BG121" s="5" t="s">
        <v>1258</v>
      </c>
      <c r="BH121" s="5">
        <v>0</v>
      </c>
      <c r="BI121" s="5" t="s">
        <v>154</v>
      </c>
      <c r="BJ121" s="5">
        <v>2</v>
      </c>
      <c r="BK121" s="5"/>
      <c r="BL121" s="5" t="b">
        <v>0</v>
      </c>
      <c r="BM121" s="5">
        <v>0</v>
      </c>
      <c r="BN121" s="5">
        <v>0</v>
      </c>
      <c r="BO121" s="5" t="s">
        <v>155</v>
      </c>
      <c r="BP121" s="5">
        <v>128</v>
      </c>
      <c r="BQ121" s="5" t="s">
        <v>156</v>
      </c>
      <c r="BR121" s="5">
        <v>2</v>
      </c>
      <c r="BS121" s="5" t="s">
        <v>157</v>
      </c>
      <c r="BT121" s="5">
        <v>0</v>
      </c>
      <c r="BU121" s="5">
        <v>96</v>
      </c>
      <c r="BV121" s="5" t="b">
        <v>0</v>
      </c>
      <c r="BW121" s="5">
        <v>1000</v>
      </c>
      <c r="BX121" s="5">
        <v>0.3</v>
      </c>
      <c r="BY121" s="5" t="b">
        <v>0</v>
      </c>
      <c r="BZ121" s="5" t="s">
        <v>1259</v>
      </c>
      <c r="CA121" s="5" t="s">
        <v>13</v>
      </c>
      <c r="CB121" s="5" t="s">
        <v>1260</v>
      </c>
      <c r="CC121" s="5" t="s">
        <v>160</v>
      </c>
      <c r="CD121" s="5">
        <v>1751</v>
      </c>
      <c r="CE121" s="5">
        <v>32</v>
      </c>
      <c r="CF121" s="5" t="b">
        <v>0</v>
      </c>
      <c r="CG121" s="5" t="s">
        <v>161</v>
      </c>
      <c r="CH121" s="5">
        <v>48</v>
      </c>
      <c r="CI121" s="5">
        <v>1</v>
      </c>
      <c r="CJ121" s="5">
        <v>0.25</v>
      </c>
      <c r="CK121" s="5">
        <v>7</v>
      </c>
      <c r="CL121" s="5" t="s">
        <v>1261</v>
      </c>
      <c r="CM121" s="5">
        <v>7</v>
      </c>
      <c r="CN121" s="5" t="s">
        <v>163</v>
      </c>
      <c r="CO121" s="5">
        <v>0</v>
      </c>
      <c r="CP121" s="5" t="s">
        <v>269</v>
      </c>
      <c r="CQ121" s="5" t="s">
        <v>164</v>
      </c>
      <c r="CR121" s="5" t="s">
        <v>1258</v>
      </c>
      <c r="CS121" s="5">
        <v>3</v>
      </c>
      <c r="CT121" s="5" t="b">
        <v>0</v>
      </c>
      <c r="CU121" s="5" t="s">
        <v>165</v>
      </c>
      <c r="CV121" s="5" t="b">
        <v>1</v>
      </c>
      <c r="CW121" s="5" t="b">
        <v>0</v>
      </c>
      <c r="CX121" s="5">
        <v>1</v>
      </c>
      <c r="CY121" s="5">
        <v>2</v>
      </c>
      <c r="CZ121" s="5" t="b">
        <v>0</v>
      </c>
      <c r="DA121" s="5" t="b">
        <v>0</v>
      </c>
      <c r="DB121" s="5" t="b">
        <v>0</v>
      </c>
      <c r="DC121" s="5" t="s">
        <v>166</v>
      </c>
      <c r="DD121" s="5" t="s">
        <v>167</v>
      </c>
      <c r="DE121" s="5" t="s">
        <v>168</v>
      </c>
      <c r="DF121" s="5">
        <v>0.5</v>
      </c>
      <c r="DG121" s="5">
        <v>10</v>
      </c>
      <c r="DH121" s="5">
        <v>0.3</v>
      </c>
      <c r="DI121" s="5">
        <v>1</v>
      </c>
      <c r="DJ121" s="5">
        <v>1</v>
      </c>
      <c r="DK121" s="5" t="s">
        <v>169</v>
      </c>
      <c r="DL121" s="5" t="b">
        <v>0</v>
      </c>
      <c r="DM121" s="5">
        <v>32</v>
      </c>
      <c r="DN121" s="5">
        <v>1</v>
      </c>
      <c r="DO121" s="5" t="s">
        <v>170</v>
      </c>
      <c r="DP121" s="5" t="s">
        <v>1260</v>
      </c>
      <c r="DQ121" s="5" t="s">
        <v>171</v>
      </c>
      <c r="DR121" s="5" t="s">
        <v>172</v>
      </c>
      <c r="DS121" s="7" t="str">
        <f>_xlfn.XLOOKUP(CP121,datasetmap!B:B,datasetmap!A:A)</f>
        <v>EC</v>
      </c>
      <c r="DT121" s="8">
        <f t="shared" si="1"/>
        <v>1.591589888</v>
      </c>
    </row>
    <row r="122" ht="17.6" spans="1:124">
      <c r="A122" s="5" t="s">
        <v>1262</v>
      </c>
      <c r="B122" s="5">
        <v>32</v>
      </c>
      <c r="C122" s="5" t="s">
        <v>141</v>
      </c>
      <c r="D122" s="5" t="s">
        <v>1263</v>
      </c>
      <c r="E122" s="5" t="s">
        <v>1264</v>
      </c>
      <c r="F122" s="5" t="s">
        <v>1265</v>
      </c>
      <c r="G122" s="6">
        <v>1.7789185677834e+18</v>
      </c>
      <c r="H122" s="5">
        <v>0.899370202166254</v>
      </c>
      <c r="I122" s="5">
        <v>0.896216881275147</v>
      </c>
      <c r="J122" s="5">
        <v>0.327407939</v>
      </c>
      <c r="K122" s="5">
        <v>0.899370202166254</v>
      </c>
      <c r="L122" s="6">
        <v>1.7789185677833e+18</v>
      </c>
      <c r="M122" s="5">
        <v>0.896875</v>
      </c>
      <c r="N122" s="6">
        <v>1.77891856842381e+18</v>
      </c>
      <c r="O122" s="6">
        <v>1.77891838813425e+18</v>
      </c>
      <c r="P122" s="5">
        <v>178.753284571</v>
      </c>
      <c r="Q122" s="5">
        <v>0.25</v>
      </c>
      <c r="R122" s="5">
        <v>6</v>
      </c>
      <c r="S122" s="5" t="s">
        <v>145</v>
      </c>
      <c r="T122" s="5" t="s">
        <v>146</v>
      </c>
      <c r="U122" s="5" t="b">
        <v>0</v>
      </c>
      <c r="V122" s="5">
        <v>25</v>
      </c>
      <c r="W122" s="5">
        <v>0</v>
      </c>
      <c r="X122" s="5">
        <v>10</v>
      </c>
      <c r="Y122" s="5">
        <v>8</v>
      </c>
      <c r="Z122" s="5" t="b">
        <v>0</v>
      </c>
      <c r="AA122" s="5">
        <v>4</v>
      </c>
      <c r="AB122" s="5" t="b">
        <v>0</v>
      </c>
      <c r="AC122" s="5" t="b">
        <v>0</v>
      </c>
      <c r="AD122" s="5" t="s">
        <v>147</v>
      </c>
      <c r="AE122" s="5" t="s">
        <v>1266</v>
      </c>
      <c r="AF122" s="5">
        <v>1</v>
      </c>
      <c r="AG122" s="5" t="b">
        <v>0</v>
      </c>
      <c r="AH122" s="5" t="b">
        <v>0</v>
      </c>
      <c r="AI122" s="5" t="s">
        <v>149</v>
      </c>
      <c r="AJ122" s="5">
        <v>3</v>
      </c>
      <c r="AK122" s="5" t="b">
        <v>0</v>
      </c>
      <c r="AL122" s="5">
        <v>8</v>
      </c>
      <c r="AM122" s="5">
        <v>0</v>
      </c>
      <c r="AN122" s="5">
        <v>0</v>
      </c>
      <c r="AO122" s="5" t="b">
        <v>0</v>
      </c>
      <c r="AP122" s="5">
        <v>0.001</v>
      </c>
      <c r="AQ122" s="5">
        <v>256</v>
      </c>
      <c r="AR122" s="5" t="b">
        <v>1</v>
      </c>
      <c r="AS122" s="5">
        <v>1</v>
      </c>
      <c r="AT122" s="5">
        <v>3</v>
      </c>
      <c r="AU122" s="5">
        <v>0.1</v>
      </c>
      <c r="AV122" s="5">
        <v>0.1</v>
      </c>
      <c r="AW122" s="5" t="b">
        <v>0</v>
      </c>
      <c r="AX122" s="5">
        <v>32</v>
      </c>
      <c r="AY122" s="5">
        <v>1234</v>
      </c>
      <c r="AZ122" s="5">
        <v>1</v>
      </c>
      <c r="BA122" s="5">
        <v>16</v>
      </c>
      <c r="BB122" s="5" t="s">
        <v>275</v>
      </c>
      <c r="BC122" s="5" t="s">
        <v>151</v>
      </c>
      <c r="BD122" s="5">
        <v>10</v>
      </c>
      <c r="BE122" s="5" t="b">
        <v>0</v>
      </c>
      <c r="BF122" s="5" t="s">
        <v>152</v>
      </c>
      <c r="BG122" s="5" t="s">
        <v>1267</v>
      </c>
      <c r="BH122" s="5">
        <v>0</v>
      </c>
      <c r="BI122" s="5" t="s">
        <v>154</v>
      </c>
      <c r="BJ122" s="5">
        <v>2</v>
      </c>
      <c r="BK122" s="5"/>
      <c r="BL122" s="5" t="b">
        <v>0</v>
      </c>
      <c r="BM122" s="5">
        <v>0</v>
      </c>
      <c r="BN122" s="5">
        <v>0</v>
      </c>
      <c r="BO122" s="5" t="s">
        <v>155</v>
      </c>
      <c r="BP122" s="5">
        <v>128</v>
      </c>
      <c r="BQ122" s="5" t="s">
        <v>156</v>
      </c>
      <c r="BR122" s="5">
        <v>2</v>
      </c>
      <c r="BS122" s="5" t="s">
        <v>157</v>
      </c>
      <c r="BT122" s="5">
        <v>0</v>
      </c>
      <c r="BU122" s="5">
        <v>96</v>
      </c>
      <c r="BV122" s="5" t="b">
        <v>0</v>
      </c>
      <c r="BW122" s="5">
        <v>1000</v>
      </c>
      <c r="BX122" s="5">
        <v>0.3</v>
      </c>
      <c r="BY122" s="5" t="b">
        <v>0</v>
      </c>
      <c r="BZ122" s="5" t="s">
        <v>1268</v>
      </c>
      <c r="CA122" s="5" t="s">
        <v>13</v>
      </c>
      <c r="CB122" s="5" t="s">
        <v>1269</v>
      </c>
      <c r="CC122" s="5" t="s">
        <v>160</v>
      </c>
      <c r="CD122" s="5">
        <v>315</v>
      </c>
      <c r="CE122" s="5">
        <v>32</v>
      </c>
      <c r="CF122" s="5" t="b">
        <v>0</v>
      </c>
      <c r="CG122" s="5" t="s">
        <v>161</v>
      </c>
      <c r="CH122" s="5">
        <v>48</v>
      </c>
      <c r="CI122" s="5">
        <v>1</v>
      </c>
      <c r="CJ122" s="5">
        <v>0.25</v>
      </c>
      <c r="CK122" s="5">
        <v>7</v>
      </c>
      <c r="CL122" s="5" t="s">
        <v>1270</v>
      </c>
      <c r="CM122" s="5">
        <v>7</v>
      </c>
      <c r="CN122" s="5" t="s">
        <v>163</v>
      </c>
      <c r="CO122" s="5">
        <v>0</v>
      </c>
      <c r="CP122" s="5" t="s">
        <v>280</v>
      </c>
      <c r="CQ122" s="5" t="s">
        <v>164</v>
      </c>
      <c r="CR122" s="5" t="s">
        <v>1267</v>
      </c>
      <c r="CS122" s="5">
        <v>3</v>
      </c>
      <c r="CT122" s="5" t="b">
        <v>0</v>
      </c>
      <c r="CU122" s="5" t="s">
        <v>165</v>
      </c>
      <c r="CV122" s="5" t="b">
        <v>1</v>
      </c>
      <c r="CW122" s="5" t="b">
        <v>0</v>
      </c>
      <c r="CX122" s="5">
        <v>1</v>
      </c>
      <c r="CY122" s="5">
        <v>2</v>
      </c>
      <c r="CZ122" s="5" t="b">
        <v>0</v>
      </c>
      <c r="DA122" s="5" t="b">
        <v>0</v>
      </c>
      <c r="DB122" s="5" t="b">
        <v>0</v>
      </c>
      <c r="DC122" s="5" t="s">
        <v>166</v>
      </c>
      <c r="DD122" s="5" t="s">
        <v>167</v>
      </c>
      <c r="DE122" s="5" t="s">
        <v>168</v>
      </c>
      <c r="DF122" s="5">
        <v>0.5</v>
      </c>
      <c r="DG122" s="5">
        <v>10</v>
      </c>
      <c r="DH122" s="5">
        <v>0.3</v>
      </c>
      <c r="DI122" s="5">
        <v>1</v>
      </c>
      <c r="DJ122" s="5">
        <v>1</v>
      </c>
      <c r="DK122" s="5" t="s">
        <v>169</v>
      </c>
      <c r="DL122" s="5" t="b">
        <v>0</v>
      </c>
      <c r="DM122" s="5">
        <v>32</v>
      </c>
      <c r="DN122" s="5">
        <v>1</v>
      </c>
      <c r="DO122" s="5" t="s">
        <v>170</v>
      </c>
      <c r="DP122" s="5" t="s">
        <v>1269</v>
      </c>
      <c r="DQ122" s="5" t="s">
        <v>171</v>
      </c>
      <c r="DR122" s="5" t="s">
        <v>172</v>
      </c>
      <c r="DS122" s="7" t="str">
        <f>_xlfn.XLOOKUP(CP122,datasetmap!B:B,datasetmap!A:A)</f>
        <v>UWG</v>
      </c>
      <c r="DT122" s="8">
        <f t="shared" si="1"/>
        <v>0.640410112</v>
      </c>
    </row>
    <row r="123" ht="17.6" spans="1:124">
      <c r="A123" s="5" t="s">
        <v>1271</v>
      </c>
      <c r="B123" s="5">
        <v>32</v>
      </c>
      <c r="C123" s="5" t="s">
        <v>141</v>
      </c>
      <c r="D123" s="5" t="s">
        <v>1272</v>
      </c>
      <c r="E123" s="5" t="s">
        <v>1273</v>
      </c>
      <c r="F123" s="5" t="s">
        <v>1274</v>
      </c>
      <c r="G123" s="6">
        <v>1.77891836686894e+18</v>
      </c>
      <c r="H123" s="5">
        <v>0.9906837871632</v>
      </c>
      <c r="I123" s="5">
        <v>0.990463655218216</v>
      </c>
      <c r="J123" s="5">
        <v>0.592576268</v>
      </c>
      <c r="K123" s="5">
        <v>0.9906837871632</v>
      </c>
      <c r="L123" s="6">
        <v>1.77891836686887e+18</v>
      </c>
      <c r="M123" s="5">
        <v>0.990450204638472</v>
      </c>
      <c r="N123" s="6">
        <v>1.77891837179938e+18</v>
      </c>
      <c r="O123" s="6">
        <v>1.77891823311917e+18</v>
      </c>
      <c r="P123" s="5">
        <v>112.15154743</v>
      </c>
      <c r="Q123" s="5">
        <v>0.25</v>
      </c>
      <c r="R123" s="5">
        <v>6</v>
      </c>
      <c r="S123" s="5" t="s">
        <v>145</v>
      </c>
      <c r="T123" s="5" t="s">
        <v>146</v>
      </c>
      <c r="U123" s="5" t="b">
        <v>0</v>
      </c>
      <c r="V123" s="5">
        <v>25</v>
      </c>
      <c r="W123" s="5">
        <v>0</v>
      </c>
      <c r="X123" s="5">
        <v>10</v>
      </c>
      <c r="Y123" s="5">
        <v>8</v>
      </c>
      <c r="Z123" s="5" t="b">
        <v>0</v>
      </c>
      <c r="AA123" s="5">
        <v>4</v>
      </c>
      <c r="AB123" s="5" t="b">
        <v>0</v>
      </c>
      <c r="AC123" s="5" t="b">
        <v>0</v>
      </c>
      <c r="AD123" s="5" t="s">
        <v>147</v>
      </c>
      <c r="AE123" s="5" t="s">
        <v>1275</v>
      </c>
      <c r="AF123" s="5">
        <v>1</v>
      </c>
      <c r="AG123" s="5" t="b">
        <v>0</v>
      </c>
      <c r="AH123" s="5" t="b">
        <v>0</v>
      </c>
      <c r="AI123" s="5" t="s">
        <v>149</v>
      </c>
      <c r="AJ123" s="5">
        <v>3</v>
      </c>
      <c r="AK123" s="5" t="b">
        <v>0</v>
      </c>
      <c r="AL123" s="5">
        <v>10</v>
      </c>
      <c r="AM123" s="5">
        <v>0</v>
      </c>
      <c r="AN123" s="5">
        <v>0</v>
      </c>
      <c r="AO123" s="5" t="b">
        <v>0</v>
      </c>
      <c r="AP123" s="5">
        <v>0.001</v>
      </c>
      <c r="AQ123" s="5">
        <v>256</v>
      </c>
      <c r="AR123" s="5" t="b">
        <v>1</v>
      </c>
      <c r="AS123" s="5">
        <v>1</v>
      </c>
      <c r="AT123" s="5">
        <v>3</v>
      </c>
      <c r="AU123" s="5">
        <v>0.1</v>
      </c>
      <c r="AV123" s="5">
        <v>0.1</v>
      </c>
      <c r="AW123" s="5" t="b">
        <v>0</v>
      </c>
      <c r="AX123" s="5">
        <v>32</v>
      </c>
      <c r="AY123" s="5">
        <v>123</v>
      </c>
      <c r="AZ123" s="5">
        <v>1</v>
      </c>
      <c r="BA123" s="5">
        <v>16</v>
      </c>
      <c r="BB123" s="5" t="s">
        <v>178</v>
      </c>
      <c r="BC123" s="5" t="s">
        <v>151</v>
      </c>
      <c r="BD123" s="5">
        <v>10</v>
      </c>
      <c r="BE123" s="5" t="b">
        <v>0</v>
      </c>
      <c r="BF123" s="5" t="s">
        <v>152</v>
      </c>
      <c r="BG123" s="5" t="s">
        <v>1276</v>
      </c>
      <c r="BH123" s="5">
        <v>0</v>
      </c>
      <c r="BI123" s="5" t="s">
        <v>154</v>
      </c>
      <c r="BJ123" s="5">
        <v>2</v>
      </c>
      <c r="BK123" s="5"/>
      <c r="BL123" s="5" t="b">
        <v>0</v>
      </c>
      <c r="BM123" s="5">
        <v>0</v>
      </c>
      <c r="BN123" s="5">
        <v>0</v>
      </c>
      <c r="BO123" s="5" t="s">
        <v>155</v>
      </c>
      <c r="BP123" s="5">
        <v>128</v>
      </c>
      <c r="BQ123" s="5" t="s">
        <v>156</v>
      </c>
      <c r="BR123" s="5">
        <v>2</v>
      </c>
      <c r="BS123" s="5" t="s">
        <v>157</v>
      </c>
      <c r="BT123" s="5">
        <v>0</v>
      </c>
      <c r="BU123" s="5">
        <v>96</v>
      </c>
      <c r="BV123" s="5" t="b">
        <v>0</v>
      </c>
      <c r="BW123" s="5">
        <v>1000</v>
      </c>
      <c r="BX123" s="5">
        <v>0.3</v>
      </c>
      <c r="BY123" s="5" t="b">
        <v>0</v>
      </c>
      <c r="BZ123" s="5" t="s">
        <v>1277</v>
      </c>
      <c r="CA123" s="5" t="s">
        <v>13</v>
      </c>
      <c r="CB123" s="5" t="s">
        <v>1278</v>
      </c>
      <c r="CC123" s="5" t="s">
        <v>160</v>
      </c>
      <c r="CD123" s="5">
        <v>93</v>
      </c>
      <c r="CE123" s="5">
        <v>32</v>
      </c>
      <c r="CF123" s="5" t="b">
        <v>0</v>
      </c>
      <c r="CG123" s="5" t="s">
        <v>161</v>
      </c>
      <c r="CH123" s="5">
        <v>48</v>
      </c>
      <c r="CI123" s="5">
        <v>1</v>
      </c>
      <c r="CJ123" s="5">
        <v>0.25</v>
      </c>
      <c r="CK123" s="5">
        <v>7</v>
      </c>
      <c r="CL123" s="5" t="s">
        <v>1279</v>
      </c>
      <c r="CM123" s="5">
        <v>7</v>
      </c>
      <c r="CN123" s="5" t="s">
        <v>163</v>
      </c>
      <c r="CO123" s="5">
        <v>0</v>
      </c>
      <c r="CP123" s="5" t="s">
        <v>183</v>
      </c>
      <c r="CQ123" s="5" t="s">
        <v>164</v>
      </c>
      <c r="CR123" s="5" t="s">
        <v>1276</v>
      </c>
      <c r="CS123" s="5">
        <v>13</v>
      </c>
      <c r="CT123" s="5" t="b">
        <v>0</v>
      </c>
      <c r="CU123" s="5" t="s">
        <v>165</v>
      </c>
      <c r="CV123" s="5" t="b">
        <v>1</v>
      </c>
      <c r="CW123" s="5" t="b">
        <v>0</v>
      </c>
      <c r="CX123" s="5">
        <v>1</v>
      </c>
      <c r="CY123" s="5">
        <v>2</v>
      </c>
      <c r="CZ123" s="5" t="b">
        <v>0</v>
      </c>
      <c r="DA123" s="5" t="b">
        <v>0</v>
      </c>
      <c r="DB123" s="5" t="b">
        <v>0</v>
      </c>
      <c r="DC123" s="5" t="s">
        <v>166</v>
      </c>
      <c r="DD123" s="5" t="s">
        <v>167</v>
      </c>
      <c r="DE123" s="5" t="s">
        <v>168</v>
      </c>
      <c r="DF123" s="5">
        <v>0.5</v>
      </c>
      <c r="DG123" s="5">
        <v>10</v>
      </c>
      <c r="DH123" s="5">
        <v>0.3</v>
      </c>
      <c r="DI123" s="5">
        <v>1</v>
      </c>
      <c r="DJ123" s="5">
        <v>1</v>
      </c>
      <c r="DK123" s="5" t="s">
        <v>169</v>
      </c>
      <c r="DL123" s="5" t="b">
        <v>0</v>
      </c>
      <c r="DM123" s="5">
        <v>32</v>
      </c>
      <c r="DN123" s="5">
        <v>1</v>
      </c>
      <c r="DO123" s="5" t="s">
        <v>170</v>
      </c>
      <c r="DP123" s="5" t="s">
        <v>1278</v>
      </c>
      <c r="DQ123" s="5" t="s">
        <v>171</v>
      </c>
      <c r="DR123" s="5" t="s">
        <v>172</v>
      </c>
      <c r="DS123" s="7" t="str">
        <f>_xlfn.XLOOKUP(CP123,datasetmap!B:B,datasetmap!A:A)</f>
        <v>SAD</v>
      </c>
      <c r="DT123" s="8">
        <f t="shared" si="1"/>
        <v>4.930439936</v>
      </c>
    </row>
    <row r="124" ht="17.6" spans="1:124">
      <c r="A124" s="5" t="s">
        <v>1280</v>
      </c>
      <c r="B124" s="5">
        <v>32</v>
      </c>
      <c r="C124" s="5" t="s">
        <v>141</v>
      </c>
      <c r="D124" s="5" t="s">
        <v>1281</v>
      </c>
      <c r="E124" s="5" t="s">
        <v>1282</v>
      </c>
      <c r="F124" s="5" t="s">
        <v>1283</v>
      </c>
      <c r="G124" s="6">
        <v>1.77891830531474e+18</v>
      </c>
      <c r="H124" s="5">
        <v>0.658137587855391</v>
      </c>
      <c r="I124" s="5">
        <v>0.65538602767352</v>
      </c>
      <c r="J124" s="5">
        <v>0.821805315</v>
      </c>
      <c r="K124" s="5">
        <v>0.658137587855391</v>
      </c>
      <c r="L124" s="6">
        <v>1.77891830531467e+18</v>
      </c>
      <c r="M124" s="5">
        <v>0.656356413166855</v>
      </c>
      <c r="N124" s="6">
        <v>1.77891837133156e+18</v>
      </c>
      <c r="O124" s="6">
        <v>1.77891797998542e+18</v>
      </c>
      <c r="P124" s="5">
        <v>56.28691455</v>
      </c>
      <c r="Q124" s="5">
        <v>0.25</v>
      </c>
      <c r="R124" s="5">
        <v>6</v>
      </c>
      <c r="S124" s="5" t="s">
        <v>145</v>
      </c>
      <c r="T124" s="5" t="s">
        <v>146</v>
      </c>
      <c r="U124" s="5" t="b">
        <v>0</v>
      </c>
      <c r="V124" s="5">
        <v>25</v>
      </c>
      <c r="W124" s="5">
        <v>0</v>
      </c>
      <c r="X124" s="5">
        <v>10</v>
      </c>
      <c r="Y124" s="5">
        <v>8</v>
      </c>
      <c r="Z124" s="5" t="b">
        <v>0</v>
      </c>
      <c r="AA124" s="5">
        <v>4</v>
      </c>
      <c r="AB124" s="5" t="b">
        <v>0</v>
      </c>
      <c r="AC124" s="5" t="b">
        <v>0</v>
      </c>
      <c r="AD124" s="5" t="s">
        <v>147</v>
      </c>
      <c r="AE124" s="5" t="s">
        <v>1284</v>
      </c>
      <c r="AF124" s="5">
        <v>1</v>
      </c>
      <c r="AG124" s="5" t="b">
        <v>0</v>
      </c>
      <c r="AH124" s="5" t="b">
        <v>0</v>
      </c>
      <c r="AI124" s="5" t="s">
        <v>149</v>
      </c>
      <c r="AJ124" s="5">
        <v>3</v>
      </c>
      <c r="AK124" s="5" t="b">
        <v>0</v>
      </c>
      <c r="AL124" s="5">
        <v>2</v>
      </c>
      <c r="AM124" s="5">
        <v>0</v>
      </c>
      <c r="AN124" s="5">
        <v>0</v>
      </c>
      <c r="AO124" s="5" t="b">
        <v>0</v>
      </c>
      <c r="AP124" s="5">
        <v>0.001</v>
      </c>
      <c r="AQ124" s="5">
        <v>256</v>
      </c>
      <c r="AR124" s="5" t="b">
        <v>1</v>
      </c>
      <c r="AS124" s="5">
        <v>1</v>
      </c>
      <c r="AT124" s="5">
        <v>3</v>
      </c>
      <c r="AU124" s="5">
        <v>0.1</v>
      </c>
      <c r="AV124" s="5">
        <v>0.1</v>
      </c>
      <c r="AW124" s="5" t="b">
        <v>0</v>
      </c>
      <c r="AX124" s="5">
        <v>32</v>
      </c>
      <c r="AY124" s="5">
        <v>123</v>
      </c>
      <c r="AZ124" s="5">
        <v>1</v>
      </c>
      <c r="BA124" s="5">
        <v>16</v>
      </c>
      <c r="BB124" s="5" t="s">
        <v>189</v>
      </c>
      <c r="BC124" s="5" t="s">
        <v>151</v>
      </c>
      <c r="BD124" s="5">
        <v>10</v>
      </c>
      <c r="BE124" s="5" t="b">
        <v>0</v>
      </c>
      <c r="BF124" s="5" t="s">
        <v>152</v>
      </c>
      <c r="BG124" s="5" t="s">
        <v>1285</v>
      </c>
      <c r="BH124" s="5">
        <v>0</v>
      </c>
      <c r="BI124" s="5" t="s">
        <v>154</v>
      </c>
      <c r="BJ124" s="5">
        <v>2</v>
      </c>
      <c r="BK124" s="5"/>
      <c r="BL124" s="5" t="b">
        <v>0</v>
      </c>
      <c r="BM124" s="5">
        <v>0</v>
      </c>
      <c r="BN124" s="5">
        <v>0</v>
      </c>
      <c r="BO124" s="5" t="s">
        <v>155</v>
      </c>
      <c r="BP124" s="5">
        <v>128</v>
      </c>
      <c r="BQ124" s="5" t="s">
        <v>156</v>
      </c>
      <c r="BR124" s="5">
        <v>2</v>
      </c>
      <c r="BS124" s="5" t="s">
        <v>157</v>
      </c>
      <c r="BT124" s="5">
        <v>0</v>
      </c>
      <c r="BU124" s="5">
        <v>96</v>
      </c>
      <c r="BV124" s="5" t="b">
        <v>0</v>
      </c>
      <c r="BW124" s="5">
        <v>1000</v>
      </c>
      <c r="BX124" s="5">
        <v>0.3</v>
      </c>
      <c r="BY124" s="5" t="b">
        <v>0</v>
      </c>
      <c r="BZ124" s="5" t="s">
        <v>1286</v>
      </c>
      <c r="CA124" s="5" t="s">
        <v>13</v>
      </c>
      <c r="CB124" s="5" t="s">
        <v>1287</v>
      </c>
      <c r="CC124" s="5" t="s">
        <v>160</v>
      </c>
      <c r="CD124" s="5">
        <v>62</v>
      </c>
      <c r="CE124" s="5">
        <v>32</v>
      </c>
      <c r="CF124" s="5" t="b">
        <v>0</v>
      </c>
      <c r="CG124" s="5" t="s">
        <v>161</v>
      </c>
      <c r="CH124" s="5">
        <v>48</v>
      </c>
      <c r="CI124" s="5">
        <v>1</v>
      </c>
      <c r="CJ124" s="5">
        <v>0.25</v>
      </c>
      <c r="CK124" s="5">
        <v>7</v>
      </c>
      <c r="CL124" s="5" t="s">
        <v>1288</v>
      </c>
      <c r="CM124" s="5">
        <v>7</v>
      </c>
      <c r="CN124" s="5" t="s">
        <v>163</v>
      </c>
      <c r="CO124" s="5">
        <v>0</v>
      </c>
      <c r="CP124" s="5" t="s">
        <v>194</v>
      </c>
      <c r="CQ124" s="5" t="s">
        <v>164</v>
      </c>
      <c r="CR124" s="5" t="s">
        <v>1285</v>
      </c>
      <c r="CS124" s="5">
        <v>144</v>
      </c>
      <c r="CT124" s="5" t="b">
        <v>0</v>
      </c>
      <c r="CU124" s="5" t="s">
        <v>165</v>
      </c>
      <c r="CV124" s="5" t="b">
        <v>1</v>
      </c>
      <c r="CW124" s="5" t="b">
        <v>0</v>
      </c>
      <c r="CX124" s="5">
        <v>1</v>
      </c>
      <c r="CY124" s="5">
        <v>2</v>
      </c>
      <c r="CZ124" s="5" t="b">
        <v>0</v>
      </c>
      <c r="DA124" s="5" t="b">
        <v>0</v>
      </c>
      <c r="DB124" s="5" t="b">
        <v>0</v>
      </c>
      <c r="DC124" s="5" t="s">
        <v>166</v>
      </c>
      <c r="DD124" s="5" t="s">
        <v>167</v>
      </c>
      <c r="DE124" s="5" t="s">
        <v>168</v>
      </c>
      <c r="DF124" s="5">
        <v>0.5</v>
      </c>
      <c r="DG124" s="5">
        <v>10</v>
      </c>
      <c r="DH124" s="5">
        <v>0.3</v>
      </c>
      <c r="DI124" s="5">
        <v>1</v>
      </c>
      <c r="DJ124" s="5">
        <v>1</v>
      </c>
      <c r="DK124" s="5" t="s">
        <v>169</v>
      </c>
      <c r="DL124" s="5" t="b">
        <v>0</v>
      </c>
      <c r="DM124" s="5">
        <v>32</v>
      </c>
      <c r="DN124" s="5">
        <v>1</v>
      </c>
      <c r="DO124" s="5" t="s">
        <v>170</v>
      </c>
      <c r="DP124" s="5" t="s">
        <v>1287</v>
      </c>
      <c r="DQ124" s="5" t="s">
        <v>171</v>
      </c>
      <c r="DR124" s="5" t="s">
        <v>172</v>
      </c>
      <c r="DS124" s="7" t="str">
        <f>_xlfn.XLOOKUP(CP124,datasetmap!B:B,datasetmap!A:A)</f>
        <v>FD</v>
      </c>
      <c r="DT124" s="8">
        <f t="shared" si="1"/>
        <v>66.016819968</v>
      </c>
    </row>
    <row r="125" ht="17.6" spans="1:124">
      <c r="A125" s="5" t="s">
        <v>1289</v>
      </c>
      <c r="B125" s="5">
        <v>32</v>
      </c>
      <c r="C125" s="5" t="s">
        <v>141</v>
      </c>
      <c r="D125" s="5" t="s">
        <v>1290</v>
      </c>
      <c r="E125" s="5" t="s">
        <v>1291</v>
      </c>
      <c r="F125" s="5" t="s">
        <v>1292</v>
      </c>
      <c r="G125" s="6">
        <v>1.77891819404034e+18</v>
      </c>
      <c r="H125" s="5">
        <v>0.586416591985661</v>
      </c>
      <c r="I125" s="5">
        <v>0.579583320357509</v>
      </c>
      <c r="J125" s="5">
        <v>0.766163745</v>
      </c>
      <c r="K125" s="5">
        <v>0.586416591985661</v>
      </c>
      <c r="L125" s="6">
        <v>1.77891819404029e+18</v>
      </c>
      <c r="M125" s="5">
        <v>0.583333333333333</v>
      </c>
      <c r="N125" s="6">
        <v>1.7789181953442e+18</v>
      </c>
      <c r="O125" s="6">
        <v>1.77891814769633e+18</v>
      </c>
      <c r="P125" s="5">
        <v>44.623748833</v>
      </c>
      <c r="Q125" s="5">
        <v>0.25</v>
      </c>
      <c r="R125" s="5">
        <v>6</v>
      </c>
      <c r="S125" s="5" t="s">
        <v>145</v>
      </c>
      <c r="T125" s="5" t="s">
        <v>146</v>
      </c>
      <c r="U125" s="5" t="b">
        <v>0</v>
      </c>
      <c r="V125" s="5">
        <v>25</v>
      </c>
      <c r="W125" s="5">
        <v>0</v>
      </c>
      <c r="X125" s="5">
        <v>10</v>
      </c>
      <c r="Y125" s="5">
        <v>8</v>
      </c>
      <c r="Z125" s="5" t="b">
        <v>0</v>
      </c>
      <c r="AA125" s="5">
        <v>4</v>
      </c>
      <c r="AB125" s="5" t="b">
        <v>0</v>
      </c>
      <c r="AC125" s="5" t="b">
        <v>0</v>
      </c>
      <c r="AD125" s="5" t="s">
        <v>147</v>
      </c>
      <c r="AE125" s="5" t="s">
        <v>1293</v>
      </c>
      <c r="AF125" s="5">
        <v>1</v>
      </c>
      <c r="AG125" s="5" t="b">
        <v>0</v>
      </c>
      <c r="AH125" s="5" t="b">
        <v>0</v>
      </c>
      <c r="AI125" s="5" t="s">
        <v>149</v>
      </c>
      <c r="AJ125" s="5">
        <v>3</v>
      </c>
      <c r="AK125" s="5" t="b">
        <v>0</v>
      </c>
      <c r="AL125" s="5">
        <v>2</v>
      </c>
      <c r="AM125" s="5">
        <v>0</v>
      </c>
      <c r="AN125" s="5">
        <v>0</v>
      </c>
      <c r="AO125" s="5" t="b">
        <v>0</v>
      </c>
      <c r="AP125" s="5">
        <v>0.001</v>
      </c>
      <c r="AQ125" s="5">
        <v>256</v>
      </c>
      <c r="AR125" s="5" t="b">
        <v>1</v>
      </c>
      <c r="AS125" s="5">
        <v>1</v>
      </c>
      <c r="AT125" s="5">
        <v>3</v>
      </c>
      <c r="AU125" s="5">
        <v>0.1</v>
      </c>
      <c r="AV125" s="5">
        <v>0.1</v>
      </c>
      <c r="AW125" s="5" t="b">
        <v>0</v>
      </c>
      <c r="AX125" s="5">
        <v>32</v>
      </c>
      <c r="AY125" s="5">
        <v>123</v>
      </c>
      <c r="AZ125" s="5">
        <v>1</v>
      </c>
      <c r="BA125" s="5">
        <v>16</v>
      </c>
      <c r="BB125" s="5" t="s">
        <v>200</v>
      </c>
      <c r="BC125" s="5" t="s">
        <v>151</v>
      </c>
      <c r="BD125" s="5">
        <v>10</v>
      </c>
      <c r="BE125" s="5" t="b">
        <v>0</v>
      </c>
      <c r="BF125" s="5" t="s">
        <v>152</v>
      </c>
      <c r="BG125" s="5" t="s">
        <v>1294</v>
      </c>
      <c r="BH125" s="5">
        <v>0</v>
      </c>
      <c r="BI125" s="5" t="s">
        <v>154</v>
      </c>
      <c r="BJ125" s="5">
        <v>2</v>
      </c>
      <c r="BK125" s="5"/>
      <c r="BL125" s="5" t="b">
        <v>0</v>
      </c>
      <c r="BM125" s="5">
        <v>0</v>
      </c>
      <c r="BN125" s="5">
        <v>0</v>
      </c>
      <c r="BO125" s="5" t="s">
        <v>155</v>
      </c>
      <c r="BP125" s="5">
        <v>128</v>
      </c>
      <c r="BQ125" s="5" t="s">
        <v>156</v>
      </c>
      <c r="BR125" s="5">
        <v>2</v>
      </c>
      <c r="BS125" s="5" t="s">
        <v>157</v>
      </c>
      <c r="BT125" s="5">
        <v>0</v>
      </c>
      <c r="BU125" s="5">
        <v>96</v>
      </c>
      <c r="BV125" s="5" t="b">
        <v>0</v>
      </c>
      <c r="BW125" s="5">
        <v>1000</v>
      </c>
      <c r="BX125" s="5">
        <v>0.3</v>
      </c>
      <c r="BY125" s="5" t="b">
        <v>0</v>
      </c>
      <c r="BZ125" s="5" t="s">
        <v>1295</v>
      </c>
      <c r="CA125" s="5" t="s">
        <v>13</v>
      </c>
      <c r="CB125" s="5" t="s">
        <v>1296</v>
      </c>
      <c r="CC125" s="5" t="s">
        <v>160</v>
      </c>
      <c r="CD125" s="5">
        <v>1152</v>
      </c>
      <c r="CE125" s="5">
        <v>32</v>
      </c>
      <c r="CF125" s="5" t="b">
        <v>0</v>
      </c>
      <c r="CG125" s="5" t="s">
        <v>161</v>
      </c>
      <c r="CH125" s="5">
        <v>48</v>
      </c>
      <c r="CI125" s="5">
        <v>1</v>
      </c>
      <c r="CJ125" s="5">
        <v>0.25</v>
      </c>
      <c r="CK125" s="5">
        <v>7</v>
      </c>
      <c r="CL125" s="5" t="s">
        <v>1297</v>
      </c>
      <c r="CM125" s="5">
        <v>7</v>
      </c>
      <c r="CN125" s="5" t="s">
        <v>163</v>
      </c>
      <c r="CO125" s="5">
        <v>0</v>
      </c>
      <c r="CP125" s="5" t="s">
        <v>205</v>
      </c>
      <c r="CQ125" s="5" t="s">
        <v>164</v>
      </c>
      <c r="CR125" s="5" t="s">
        <v>1294</v>
      </c>
      <c r="CS125" s="5">
        <v>7</v>
      </c>
      <c r="CT125" s="5" t="b">
        <v>0</v>
      </c>
      <c r="CU125" s="5" t="s">
        <v>165</v>
      </c>
      <c r="CV125" s="5" t="b">
        <v>1</v>
      </c>
      <c r="CW125" s="5" t="b">
        <v>0</v>
      </c>
      <c r="CX125" s="5">
        <v>1</v>
      </c>
      <c r="CY125" s="5">
        <v>2</v>
      </c>
      <c r="CZ125" s="5" t="b">
        <v>0</v>
      </c>
      <c r="DA125" s="5" t="b">
        <v>0</v>
      </c>
      <c r="DB125" s="5" t="b">
        <v>0</v>
      </c>
      <c r="DC125" s="5" t="s">
        <v>166</v>
      </c>
      <c r="DD125" s="5" t="s">
        <v>167</v>
      </c>
      <c r="DE125" s="5" t="s">
        <v>168</v>
      </c>
      <c r="DF125" s="5">
        <v>0.5</v>
      </c>
      <c r="DG125" s="5">
        <v>10</v>
      </c>
      <c r="DH125" s="5">
        <v>0.3</v>
      </c>
      <c r="DI125" s="5">
        <v>1</v>
      </c>
      <c r="DJ125" s="5">
        <v>1</v>
      </c>
      <c r="DK125" s="5" t="s">
        <v>169</v>
      </c>
      <c r="DL125" s="5" t="b">
        <v>0</v>
      </c>
      <c r="DM125" s="5">
        <v>32</v>
      </c>
      <c r="DN125" s="5">
        <v>1</v>
      </c>
      <c r="DO125" s="5" t="s">
        <v>170</v>
      </c>
      <c r="DP125" s="5" t="s">
        <v>1296</v>
      </c>
      <c r="DQ125" s="5" t="s">
        <v>171</v>
      </c>
      <c r="DR125" s="5" t="s">
        <v>172</v>
      </c>
      <c r="DS125" s="7" t="str">
        <f>_xlfn.XLOOKUP(CP125,datasetmap!B:B,datasetmap!A:A)</f>
        <v>SRS2</v>
      </c>
      <c r="DT125" s="8">
        <f t="shared" si="1"/>
        <v>1.303859968</v>
      </c>
    </row>
    <row r="126" ht="17.6" spans="1:124">
      <c r="A126" s="5" t="s">
        <v>1298</v>
      </c>
      <c r="B126" s="5">
        <v>32</v>
      </c>
      <c r="C126" s="5" t="s">
        <v>141</v>
      </c>
      <c r="D126" s="5" t="s">
        <v>1299</v>
      </c>
      <c r="E126" s="5" t="s">
        <v>1300</v>
      </c>
      <c r="F126" s="5" t="s">
        <v>1301</v>
      </c>
      <c r="G126" s="6">
        <v>1.77891812617427e+18</v>
      </c>
      <c r="H126" s="5">
        <v>0.870325982197801</v>
      </c>
      <c r="I126" s="5">
        <v>0.862809887764588</v>
      </c>
      <c r="J126" s="5">
        <v>0.410045778</v>
      </c>
      <c r="K126" s="5">
        <v>0.870325982197801</v>
      </c>
      <c r="L126" s="6">
        <v>1.7789181261742e+18</v>
      </c>
      <c r="M126" s="5">
        <v>0.863481228668942</v>
      </c>
      <c r="N126" s="6">
        <v>1.77891812726391e+18</v>
      </c>
      <c r="O126" s="6">
        <v>1.77891810807084e+18</v>
      </c>
      <c r="P126" s="5">
        <v>15.957406228</v>
      </c>
      <c r="Q126" s="5">
        <v>0.25</v>
      </c>
      <c r="R126" s="5">
        <v>6</v>
      </c>
      <c r="S126" s="5" t="s">
        <v>145</v>
      </c>
      <c r="T126" s="5" t="s">
        <v>146</v>
      </c>
      <c r="U126" s="5" t="b">
        <v>0</v>
      </c>
      <c r="V126" s="5">
        <v>25</v>
      </c>
      <c r="W126" s="5">
        <v>0</v>
      </c>
      <c r="X126" s="5">
        <v>10</v>
      </c>
      <c r="Y126" s="5">
        <v>8</v>
      </c>
      <c r="Z126" s="5" t="b">
        <v>0</v>
      </c>
      <c r="AA126" s="5">
        <v>4</v>
      </c>
      <c r="AB126" s="5" t="b">
        <v>0</v>
      </c>
      <c r="AC126" s="5" t="b">
        <v>0</v>
      </c>
      <c r="AD126" s="5" t="s">
        <v>147</v>
      </c>
      <c r="AE126" s="5" t="s">
        <v>1302</v>
      </c>
      <c r="AF126" s="5">
        <v>1</v>
      </c>
      <c r="AG126" s="5" t="b">
        <v>0</v>
      </c>
      <c r="AH126" s="5" t="b">
        <v>0</v>
      </c>
      <c r="AI126" s="5" t="s">
        <v>149</v>
      </c>
      <c r="AJ126" s="5">
        <v>3</v>
      </c>
      <c r="AK126" s="5" t="b">
        <v>0</v>
      </c>
      <c r="AL126" s="5">
        <v>2</v>
      </c>
      <c r="AM126" s="5">
        <v>0</v>
      </c>
      <c r="AN126" s="5">
        <v>0</v>
      </c>
      <c r="AO126" s="5" t="b">
        <v>0</v>
      </c>
      <c r="AP126" s="5">
        <v>0.001</v>
      </c>
      <c r="AQ126" s="5">
        <v>256</v>
      </c>
      <c r="AR126" s="5" t="b">
        <v>1</v>
      </c>
      <c r="AS126" s="5">
        <v>1</v>
      </c>
      <c r="AT126" s="5">
        <v>3</v>
      </c>
      <c r="AU126" s="5">
        <v>0.1</v>
      </c>
      <c r="AV126" s="5">
        <v>0.1</v>
      </c>
      <c r="AW126" s="5" t="b">
        <v>0</v>
      </c>
      <c r="AX126" s="5">
        <v>32</v>
      </c>
      <c r="AY126" s="5">
        <v>123</v>
      </c>
      <c r="AZ126" s="5">
        <v>1</v>
      </c>
      <c r="BA126" s="5">
        <v>16</v>
      </c>
      <c r="BB126" s="5" t="s">
        <v>211</v>
      </c>
      <c r="BC126" s="5" t="s">
        <v>151</v>
      </c>
      <c r="BD126" s="5">
        <v>10</v>
      </c>
      <c r="BE126" s="5" t="b">
        <v>0</v>
      </c>
      <c r="BF126" s="5" t="s">
        <v>152</v>
      </c>
      <c r="BG126" s="5" t="s">
        <v>1303</v>
      </c>
      <c r="BH126" s="5">
        <v>0</v>
      </c>
      <c r="BI126" s="5" t="s">
        <v>154</v>
      </c>
      <c r="BJ126" s="5">
        <v>2</v>
      </c>
      <c r="BK126" s="5"/>
      <c r="BL126" s="5" t="b">
        <v>0</v>
      </c>
      <c r="BM126" s="5">
        <v>0</v>
      </c>
      <c r="BN126" s="5">
        <v>0</v>
      </c>
      <c r="BO126" s="5" t="s">
        <v>155</v>
      </c>
      <c r="BP126" s="5">
        <v>128</v>
      </c>
      <c r="BQ126" s="5" t="s">
        <v>156</v>
      </c>
      <c r="BR126" s="5">
        <v>2</v>
      </c>
      <c r="BS126" s="5" t="s">
        <v>157</v>
      </c>
      <c r="BT126" s="5">
        <v>0</v>
      </c>
      <c r="BU126" s="5">
        <v>96</v>
      </c>
      <c r="BV126" s="5" t="b">
        <v>0</v>
      </c>
      <c r="BW126" s="5">
        <v>1000</v>
      </c>
      <c r="BX126" s="5">
        <v>0.3</v>
      </c>
      <c r="BY126" s="5" t="b">
        <v>0</v>
      </c>
      <c r="BZ126" s="5" t="s">
        <v>1304</v>
      </c>
      <c r="CA126" s="5" t="s">
        <v>13</v>
      </c>
      <c r="CB126" s="5" t="s">
        <v>1305</v>
      </c>
      <c r="CC126" s="5" t="s">
        <v>160</v>
      </c>
      <c r="CD126" s="5">
        <v>896</v>
      </c>
      <c r="CE126" s="5">
        <v>32</v>
      </c>
      <c r="CF126" s="5" t="b">
        <v>0</v>
      </c>
      <c r="CG126" s="5" t="s">
        <v>161</v>
      </c>
      <c r="CH126" s="5">
        <v>48</v>
      </c>
      <c r="CI126" s="5">
        <v>1</v>
      </c>
      <c r="CJ126" s="5">
        <v>0.25</v>
      </c>
      <c r="CK126" s="5">
        <v>7</v>
      </c>
      <c r="CL126" s="5" t="s">
        <v>1306</v>
      </c>
      <c r="CM126" s="5">
        <v>7</v>
      </c>
      <c r="CN126" s="5" t="s">
        <v>163</v>
      </c>
      <c r="CO126" s="5">
        <v>0</v>
      </c>
      <c r="CP126" s="5" t="s">
        <v>216</v>
      </c>
      <c r="CQ126" s="5" t="s">
        <v>164</v>
      </c>
      <c r="CR126" s="5" t="s">
        <v>1303</v>
      </c>
      <c r="CS126" s="5">
        <v>6</v>
      </c>
      <c r="CT126" s="5" t="b">
        <v>0</v>
      </c>
      <c r="CU126" s="5" t="s">
        <v>165</v>
      </c>
      <c r="CV126" s="5" t="b">
        <v>1</v>
      </c>
      <c r="CW126" s="5" t="b">
        <v>0</v>
      </c>
      <c r="CX126" s="5">
        <v>1</v>
      </c>
      <c r="CY126" s="5">
        <v>2</v>
      </c>
      <c r="CZ126" s="5" t="b">
        <v>0</v>
      </c>
      <c r="DA126" s="5" t="b">
        <v>0</v>
      </c>
      <c r="DB126" s="5" t="b">
        <v>0</v>
      </c>
      <c r="DC126" s="5" t="s">
        <v>166</v>
      </c>
      <c r="DD126" s="5" t="s">
        <v>167</v>
      </c>
      <c r="DE126" s="5" t="s">
        <v>168</v>
      </c>
      <c r="DF126" s="5">
        <v>0.5</v>
      </c>
      <c r="DG126" s="5">
        <v>10</v>
      </c>
      <c r="DH126" s="5">
        <v>0.3</v>
      </c>
      <c r="DI126" s="5">
        <v>1</v>
      </c>
      <c r="DJ126" s="5">
        <v>1</v>
      </c>
      <c r="DK126" s="5" t="s">
        <v>169</v>
      </c>
      <c r="DL126" s="5" t="b">
        <v>0</v>
      </c>
      <c r="DM126" s="5">
        <v>32</v>
      </c>
      <c r="DN126" s="5">
        <v>1</v>
      </c>
      <c r="DO126" s="5" t="s">
        <v>170</v>
      </c>
      <c r="DP126" s="5" t="s">
        <v>1305</v>
      </c>
      <c r="DQ126" s="5" t="s">
        <v>171</v>
      </c>
      <c r="DR126" s="5" t="s">
        <v>172</v>
      </c>
      <c r="DS126" s="7" t="str">
        <f>_xlfn.XLOOKUP(CP126,datasetmap!B:B,datasetmap!A:A)</f>
        <v>SRS1</v>
      </c>
      <c r="DT126" s="8">
        <f t="shared" si="1"/>
        <v>1.089639936</v>
      </c>
    </row>
    <row r="127" ht="17.6" spans="1:124">
      <c r="A127" s="5" t="s">
        <v>1307</v>
      </c>
      <c r="B127" s="5">
        <v>32</v>
      </c>
      <c r="C127" s="5" t="s">
        <v>141</v>
      </c>
      <c r="D127" s="5" t="s">
        <v>1308</v>
      </c>
      <c r="E127" s="5" t="s">
        <v>1309</v>
      </c>
      <c r="F127" s="5" t="s">
        <v>1310</v>
      </c>
      <c r="G127" s="6">
        <v>1.77891808782132e+18</v>
      </c>
      <c r="H127" s="5">
        <v>0.971405446583308</v>
      </c>
      <c r="I127" s="5">
        <v>0.970481411465956</v>
      </c>
      <c r="J127" s="5">
        <v>0.393829773</v>
      </c>
      <c r="K127" s="5">
        <v>0.971405446583308</v>
      </c>
      <c r="L127" s="6">
        <v>1.77891808782121e+18</v>
      </c>
      <c r="M127" s="5">
        <v>0.97027027027027</v>
      </c>
      <c r="N127" s="6">
        <v>1.77891808899835e+18</v>
      </c>
      <c r="O127" s="6">
        <v>1.77891803701808e+18</v>
      </c>
      <c r="P127" s="5">
        <v>49.006660867</v>
      </c>
      <c r="Q127" s="5">
        <v>0.25</v>
      </c>
      <c r="R127" s="5">
        <v>6</v>
      </c>
      <c r="S127" s="5" t="s">
        <v>145</v>
      </c>
      <c r="T127" s="5" t="s">
        <v>146</v>
      </c>
      <c r="U127" s="5" t="b">
        <v>0</v>
      </c>
      <c r="V127" s="5">
        <v>25</v>
      </c>
      <c r="W127" s="5">
        <v>0</v>
      </c>
      <c r="X127" s="5">
        <v>10</v>
      </c>
      <c r="Y127" s="5">
        <v>8</v>
      </c>
      <c r="Z127" s="5" t="b">
        <v>0</v>
      </c>
      <c r="AA127" s="5">
        <v>4</v>
      </c>
      <c r="AB127" s="5" t="b">
        <v>0</v>
      </c>
      <c r="AC127" s="5" t="b">
        <v>0</v>
      </c>
      <c r="AD127" s="5" t="s">
        <v>147</v>
      </c>
      <c r="AE127" s="5" t="s">
        <v>1311</v>
      </c>
      <c r="AF127" s="5">
        <v>1</v>
      </c>
      <c r="AG127" s="5" t="b">
        <v>0</v>
      </c>
      <c r="AH127" s="5" t="b">
        <v>0</v>
      </c>
      <c r="AI127" s="5" t="s">
        <v>149</v>
      </c>
      <c r="AJ127" s="5">
        <v>3</v>
      </c>
      <c r="AK127" s="5" t="b">
        <v>0</v>
      </c>
      <c r="AL127" s="5">
        <v>9</v>
      </c>
      <c r="AM127" s="5">
        <v>0</v>
      </c>
      <c r="AN127" s="5">
        <v>0</v>
      </c>
      <c r="AO127" s="5" t="b">
        <v>0</v>
      </c>
      <c r="AP127" s="5">
        <v>0.001</v>
      </c>
      <c r="AQ127" s="5">
        <v>256</v>
      </c>
      <c r="AR127" s="5" t="b">
        <v>1</v>
      </c>
      <c r="AS127" s="5">
        <v>1</v>
      </c>
      <c r="AT127" s="5">
        <v>3</v>
      </c>
      <c r="AU127" s="5">
        <v>0.1</v>
      </c>
      <c r="AV127" s="5">
        <v>0.1</v>
      </c>
      <c r="AW127" s="5" t="b">
        <v>0</v>
      </c>
      <c r="AX127" s="5">
        <v>32</v>
      </c>
      <c r="AY127" s="5">
        <v>123</v>
      </c>
      <c r="AZ127" s="5">
        <v>1</v>
      </c>
      <c r="BA127" s="5">
        <v>16</v>
      </c>
      <c r="BB127" s="5" t="s">
        <v>222</v>
      </c>
      <c r="BC127" s="5" t="s">
        <v>151</v>
      </c>
      <c r="BD127" s="5">
        <v>10</v>
      </c>
      <c r="BE127" s="5" t="b">
        <v>0</v>
      </c>
      <c r="BF127" s="5" t="s">
        <v>152</v>
      </c>
      <c r="BG127" s="5" t="s">
        <v>1312</v>
      </c>
      <c r="BH127" s="5">
        <v>0</v>
      </c>
      <c r="BI127" s="5" t="s">
        <v>154</v>
      </c>
      <c r="BJ127" s="5">
        <v>2</v>
      </c>
      <c r="BK127" s="5"/>
      <c r="BL127" s="5" t="b">
        <v>0</v>
      </c>
      <c r="BM127" s="5">
        <v>0</v>
      </c>
      <c r="BN127" s="5">
        <v>0</v>
      </c>
      <c r="BO127" s="5" t="s">
        <v>155</v>
      </c>
      <c r="BP127" s="5">
        <v>128</v>
      </c>
      <c r="BQ127" s="5" t="s">
        <v>156</v>
      </c>
      <c r="BR127" s="5">
        <v>2</v>
      </c>
      <c r="BS127" s="5" t="s">
        <v>157</v>
      </c>
      <c r="BT127" s="5">
        <v>0</v>
      </c>
      <c r="BU127" s="5">
        <v>96</v>
      </c>
      <c r="BV127" s="5" t="b">
        <v>0</v>
      </c>
      <c r="BW127" s="5">
        <v>1000</v>
      </c>
      <c r="BX127" s="5">
        <v>0.3</v>
      </c>
      <c r="BY127" s="5" t="b">
        <v>0</v>
      </c>
      <c r="BZ127" s="5" t="s">
        <v>1313</v>
      </c>
      <c r="CA127" s="5" t="s">
        <v>13</v>
      </c>
      <c r="CB127" s="5" t="s">
        <v>1314</v>
      </c>
      <c r="CC127" s="5" t="s">
        <v>160</v>
      </c>
      <c r="CD127" s="5">
        <v>29</v>
      </c>
      <c r="CE127" s="5">
        <v>32</v>
      </c>
      <c r="CF127" s="5" t="b">
        <v>0</v>
      </c>
      <c r="CG127" s="5" t="s">
        <v>161</v>
      </c>
      <c r="CH127" s="5">
        <v>48</v>
      </c>
      <c r="CI127" s="5">
        <v>1</v>
      </c>
      <c r="CJ127" s="5">
        <v>0.25</v>
      </c>
      <c r="CK127" s="5">
        <v>7</v>
      </c>
      <c r="CL127" s="5" t="s">
        <v>1315</v>
      </c>
      <c r="CM127" s="5">
        <v>7</v>
      </c>
      <c r="CN127" s="5" t="s">
        <v>163</v>
      </c>
      <c r="CO127" s="5">
        <v>0</v>
      </c>
      <c r="CP127" s="5" t="s">
        <v>227</v>
      </c>
      <c r="CQ127" s="5" t="s">
        <v>164</v>
      </c>
      <c r="CR127" s="5" t="s">
        <v>1312</v>
      </c>
      <c r="CS127" s="5">
        <v>12</v>
      </c>
      <c r="CT127" s="5" t="b">
        <v>0</v>
      </c>
      <c r="CU127" s="5" t="s">
        <v>165</v>
      </c>
      <c r="CV127" s="5" t="b">
        <v>1</v>
      </c>
      <c r="CW127" s="5" t="b">
        <v>0</v>
      </c>
      <c r="CX127" s="5">
        <v>1</v>
      </c>
      <c r="CY127" s="5">
        <v>2</v>
      </c>
      <c r="CZ127" s="5" t="b">
        <v>0</v>
      </c>
      <c r="DA127" s="5" t="b">
        <v>0</v>
      </c>
      <c r="DB127" s="5" t="b">
        <v>0</v>
      </c>
      <c r="DC127" s="5" t="s">
        <v>166</v>
      </c>
      <c r="DD127" s="5" t="s">
        <v>167</v>
      </c>
      <c r="DE127" s="5" t="s">
        <v>168</v>
      </c>
      <c r="DF127" s="5">
        <v>0.5</v>
      </c>
      <c r="DG127" s="5">
        <v>10</v>
      </c>
      <c r="DH127" s="5">
        <v>0.3</v>
      </c>
      <c r="DI127" s="5">
        <v>1</v>
      </c>
      <c r="DJ127" s="5">
        <v>1</v>
      </c>
      <c r="DK127" s="5" t="s">
        <v>169</v>
      </c>
      <c r="DL127" s="5" t="b">
        <v>0</v>
      </c>
      <c r="DM127" s="5">
        <v>32</v>
      </c>
      <c r="DN127" s="5">
        <v>1</v>
      </c>
      <c r="DO127" s="5" t="s">
        <v>170</v>
      </c>
      <c r="DP127" s="5" t="s">
        <v>1314</v>
      </c>
      <c r="DQ127" s="5" t="s">
        <v>171</v>
      </c>
      <c r="DR127" s="5" t="s">
        <v>172</v>
      </c>
      <c r="DS127" s="7" t="str">
        <f>_xlfn.XLOOKUP(CP127,datasetmap!B:B,datasetmap!A:A)</f>
        <v>JV</v>
      </c>
      <c r="DT127" s="8">
        <f t="shared" si="1"/>
        <v>1.177030144</v>
      </c>
    </row>
    <row r="128" ht="17.6" spans="1:124">
      <c r="A128" s="5" t="s">
        <v>1316</v>
      </c>
      <c r="B128" s="5">
        <v>32</v>
      </c>
      <c r="C128" s="5" t="s">
        <v>141</v>
      </c>
      <c r="D128" s="5" t="s">
        <v>1317</v>
      </c>
      <c r="E128" s="5" t="s">
        <v>1318</v>
      </c>
      <c r="F128" s="5" t="s">
        <v>1319</v>
      </c>
      <c r="G128" s="6">
        <v>1.77891801892435e+18</v>
      </c>
      <c r="H128" s="5">
        <v>0.76410569105691</v>
      </c>
      <c r="I128" s="5">
        <v>0.766781568503232</v>
      </c>
      <c r="J128" s="5">
        <v>0.374465638</v>
      </c>
      <c r="K128" s="5">
        <v>0.76410569105691</v>
      </c>
      <c r="L128" s="6">
        <v>1.77891801892429e+18</v>
      </c>
      <c r="M128" s="5">
        <v>0.775609756097561</v>
      </c>
      <c r="N128" s="6">
        <v>1.77891802212289e+18</v>
      </c>
      <c r="O128" s="6">
        <v>1.77891797371093e+18</v>
      </c>
      <c r="P128" s="5">
        <v>36.745812166</v>
      </c>
      <c r="Q128" s="5">
        <v>0.25</v>
      </c>
      <c r="R128" s="5">
        <v>6</v>
      </c>
      <c r="S128" s="5" t="s">
        <v>145</v>
      </c>
      <c r="T128" s="5" t="s">
        <v>146</v>
      </c>
      <c r="U128" s="5" t="b">
        <v>0</v>
      </c>
      <c r="V128" s="5">
        <v>25</v>
      </c>
      <c r="W128" s="5">
        <v>0</v>
      </c>
      <c r="X128" s="5">
        <v>10</v>
      </c>
      <c r="Y128" s="5">
        <v>8</v>
      </c>
      <c r="Z128" s="5" t="b">
        <v>0</v>
      </c>
      <c r="AA128" s="5">
        <v>4</v>
      </c>
      <c r="AB128" s="5" t="b">
        <v>0</v>
      </c>
      <c r="AC128" s="5" t="b">
        <v>0</v>
      </c>
      <c r="AD128" s="5" t="s">
        <v>147</v>
      </c>
      <c r="AE128" s="5" t="s">
        <v>1320</v>
      </c>
      <c r="AF128" s="5">
        <v>1</v>
      </c>
      <c r="AG128" s="5" t="b">
        <v>0</v>
      </c>
      <c r="AH128" s="5" t="b">
        <v>0</v>
      </c>
      <c r="AI128" s="5" t="s">
        <v>149</v>
      </c>
      <c r="AJ128" s="5">
        <v>3</v>
      </c>
      <c r="AK128" s="5" t="b">
        <v>0</v>
      </c>
      <c r="AL128" s="5">
        <v>2</v>
      </c>
      <c r="AM128" s="5">
        <v>0</v>
      </c>
      <c r="AN128" s="5">
        <v>0</v>
      </c>
      <c r="AO128" s="5" t="b">
        <v>0</v>
      </c>
      <c r="AP128" s="5">
        <v>0.001</v>
      </c>
      <c r="AQ128" s="5">
        <v>256</v>
      </c>
      <c r="AR128" s="5" t="b">
        <v>1</v>
      </c>
      <c r="AS128" s="5">
        <v>1</v>
      </c>
      <c r="AT128" s="5">
        <v>3</v>
      </c>
      <c r="AU128" s="5">
        <v>0.1</v>
      </c>
      <c r="AV128" s="5">
        <v>0.1</v>
      </c>
      <c r="AW128" s="5" t="b">
        <v>0</v>
      </c>
      <c r="AX128" s="5">
        <v>32</v>
      </c>
      <c r="AY128" s="5">
        <v>123</v>
      </c>
      <c r="AZ128" s="5">
        <v>1</v>
      </c>
      <c r="BA128" s="5">
        <v>16</v>
      </c>
      <c r="BB128" s="5" t="s">
        <v>233</v>
      </c>
      <c r="BC128" s="5" t="s">
        <v>151</v>
      </c>
      <c r="BD128" s="5">
        <v>10</v>
      </c>
      <c r="BE128" s="5" t="b">
        <v>0</v>
      </c>
      <c r="BF128" s="5" t="s">
        <v>152</v>
      </c>
      <c r="BG128" s="5" t="s">
        <v>1321</v>
      </c>
      <c r="BH128" s="5">
        <v>0</v>
      </c>
      <c r="BI128" s="5" t="s">
        <v>154</v>
      </c>
      <c r="BJ128" s="5">
        <v>2</v>
      </c>
      <c r="BK128" s="5"/>
      <c r="BL128" s="5" t="b">
        <v>0</v>
      </c>
      <c r="BM128" s="5">
        <v>0</v>
      </c>
      <c r="BN128" s="5">
        <v>0</v>
      </c>
      <c r="BO128" s="5" t="s">
        <v>155</v>
      </c>
      <c r="BP128" s="5">
        <v>128</v>
      </c>
      <c r="BQ128" s="5" t="s">
        <v>156</v>
      </c>
      <c r="BR128" s="5">
        <v>2</v>
      </c>
      <c r="BS128" s="5" t="s">
        <v>157</v>
      </c>
      <c r="BT128" s="5">
        <v>0</v>
      </c>
      <c r="BU128" s="5">
        <v>96</v>
      </c>
      <c r="BV128" s="5" t="b">
        <v>0</v>
      </c>
      <c r="BW128" s="5">
        <v>1000</v>
      </c>
      <c r="BX128" s="5">
        <v>0.3</v>
      </c>
      <c r="BY128" s="5" t="b">
        <v>0</v>
      </c>
      <c r="BZ128" s="5" t="s">
        <v>1322</v>
      </c>
      <c r="CA128" s="5" t="s">
        <v>13</v>
      </c>
      <c r="CB128" s="5" t="s">
        <v>1323</v>
      </c>
      <c r="CC128" s="5" t="s">
        <v>160</v>
      </c>
      <c r="CD128" s="5">
        <v>405</v>
      </c>
      <c r="CE128" s="5">
        <v>32</v>
      </c>
      <c r="CF128" s="5" t="b">
        <v>0</v>
      </c>
      <c r="CG128" s="5" t="s">
        <v>161</v>
      </c>
      <c r="CH128" s="5">
        <v>48</v>
      </c>
      <c r="CI128" s="5">
        <v>1</v>
      </c>
      <c r="CJ128" s="5">
        <v>0.25</v>
      </c>
      <c r="CK128" s="5">
        <v>7</v>
      </c>
      <c r="CL128" s="5" t="s">
        <v>1324</v>
      </c>
      <c r="CM128" s="5">
        <v>7</v>
      </c>
      <c r="CN128" s="5" t="s">
        <v>163</v>
      </c>
      <c r="CO128" s="5">
        <v>0</v>
      </c>
      <c r="CP128" s="5" t="s">
        <v>238</v>
      </c>
      <c r="CQ128" s="5" t="s">
        <v>164</v>
      </c>
      <c r="CR128" s="5" t="s">
        <v>1321</v>
      </c>
      <c r="CS128" s="5">
        <v>61</v>
      </c>
      <c r="CT128" s="5" t="b">
        <v>0</v>
      </c>
      <c r="CU128" s="5" t="s">
        <v>165</v>
      </c>
      <c r="CV128" s="5" t="b">
        <v>1</v>
      </c>
      <c r="CW128" s="5" t="b">
        <v>0</v>
      </c>
      <c r="CX128" s="5">
        <v>1</v>
      </c>
      <c r="CY128" s="5">
        <v>2</v>
      </c>
      <c r="CZ128" s="5" t="b">
        <v>0</v>
      </c>
      <c r="DA128" s="5" t="b">
        <v>0</v>
      </c>
      <c r="DB128" s="5" t="b">
        <v>0</v>
      </c>
      <c r="DC128" s="5" t="s">
        <v>166</v>
      </c>
      <c r="DD128" s="5" t="s">
        <v>167</v>
      </c>
      <c r="DE128" s="5" t="s">
        <v>168</v>
      </c>
      <c r="DF128" s="5">
        <v>0.5</v>
      </c>
      <c r="DG128" s="5">
        <v>10</v>
      </c>
      <c r="DH128" s="5">
        <v>0.3</v>
      </c>
      <c r="DI128" s="5">
        <v>1</v>
      </c>
      <c r="DJ128" s="5">
        <v>1</v>
      </c>
      <c r="DK128" s="5" t="s">
        <v>169</v>
      </c>
      <c r="DL128" s="5" t="b">
        <v>0</v>
      </c>
      <c r="DM128" s="5">
        <v>32</v>
      </c>
      <c r="DN128" s="5">
        <v>1</v>
      </c>
      <c r="DO128" s="5" t="s">
        <v>170</v>
      </c>
      <c r="DP128" s="5" t="s">
        <v>1323</v>
      </c>
      <c r="DQ128" s="5" t="s">
        <v>171</v>
      </c>
      <c r="DR128" s="5" t="s">
        <v>172</v>
      </c>
      <c r="DS128" s="7" t="str">
        <f>_xlfn.XLOOKUP(CP128,datasetmap!B:B,datasetmap!A:A)</f>
        <v>HB</v>
      </c>
      <c r="DT128" s="8">
        <f t="shared" si="1"/>
        <v>3.198540032</v>
      </c>
    </row>
    <row r="129" ht="17.6" spans="1:124">
      <c r="A129" s="5" t="s">
        <v>1325</v>
      </c>
      <c r="B129" s="5">
        <v>32</v>
      </c>
      <c r="C129" s="5" t="s">
        <v>141</v>
      </c>
      <c r="D129" s="5" t="s">
        <v>1326</v>
      </c>
      <c r="E129" s="5" t="s">
        <v>1327</v>
      </c>
      <c r="F129" s="5" t="s">
        <v>1328</v>
      </c>
      <c r="G129" s="6">
        <v>1.77891794264392e+18</v>
      </c>
      <c r="H129" s="5">
        <v>0.476585937799919</v>
      </c>
      <c r="I129" s="5">
        <v>0.432431113114714</v>
      </c>
      <c r="J129" s="5">
        <v>0.483879929</v>
      </c>
      <c r="K129" s="5">
        <v>0.476585937799919</v>
      </c>
      <c r="L129" s="6">
        <v>1.77891794264383e+18</v>
      </c>
      <c r="M129" s="5">
        <v>0.452941176470588</v>
      </c>
      <c r="N129" s="6">
        <v>1.77891794399855e+18</v>
      </c>
      <c r="O129" s="6">
        <v>1.7789178163685e+18</v>
      </c>
      <c r="P129" s="5">
        <v>124.61788207</v>
      </c>
      <c r="Q129" s="5">
        <v>0.25</v>
      </c>
      <c r="R129" s="5">
        <v>6</v>
      </c>
      <c r="S129" s="5" t="s">
        <v>145</v>
      </c>
      <c r="T129" s="5" t="s">
        <v>146</v>
      </c>
      <c r="U129" s="5" t="b">
        <v>0</v>
      </c>
      <c r="V129" s="5">
        <v>25</v>
      </c>
      <c r="W129" s="5">
        <v>0</v>
      </c>
      <c r="X129" s="5">
        <v>10</v>
      </c>
      <c r="Y129" s="5">
        <v>8</v>
      </c>
      <c r="Z129" s="5" t="b">
        <v>0</v>
      </c>
      <c r="AA129" s="5">
        <v>4</v>
      </c>
      <c r="AB129" s="5" t="b">
        <v>0</v>
      </c>
      <c r="AC129" s="5" t="b">
        <v>0</v>
      </c>
      <c r="AD129" s="5" t="s">
        <v>147</v>
      </c>
      <c r="AE129" s="5" t="s">
        <v>1329</v>
      </c>
      <c r="AF129" s="5">
        <v>1</v>
      </c>
      <c r="AG129" s="5" t="b">
        <v>0</v>
      </c>
      <c r="AH129" s="5" t="b">
        <v>0</v>
      </c>
      <c r="AI129" s="5" t="s">
        <v>149</v>
      </c>
      <c r="AJ129" s="5">
        <v>3</v>
      </c>
      <c r="AK129" s="5" t="b">
        <v>0</v>
      </c>
      <c r="AL129" s="5">
        <v>26</v>
      </c>
      <c r="AM129" s="5">
        <v>0</v>
      </c>
      <c r="AN129" s="5">
        <v>0</v>
      </c>
      <c r="AO129" s="5" t="b">
        <v>0</v>
      </c>
      <c r="AP129" s="5">
        <v>0.001</v>
      </c>
      <c r="AQ129" s="5">
        <v>256</v>
      </c>
      <c r="AR129" s="5" t="b">
        <v>1</v>
      </c>
      <c r="AS129" s="5">
        <v>1</v>
      </c>
      <c r="AT129" s="5">
        <v>3</v>
      </c>
      <c r="AU129" s="5">
        <v>0.1</v>
      </c>
      <c r="AV129" s="5">
        <v>0.1</v>
      </c>
      <c r="AW129" s="5" t="b">
        <v>0</v>
      </c>
      <c r="AX129" s="5">
        <v>32</v>
      </c>
      <c r="AY129" s="5">
        <v>123</v>
      </c>
      <c r="AZ129" s="5">
        <v>1</v>
      </c>
      <c r="BA129" s="5">
        <v>16</v>
      </c>
      <c r="BB129" s="5" t="s">
        <v>244</v>
      </c>
      <c r="BC129" s="5" t="s">
        <v>151</v>
      </c>
      <c r="BD129" s="5">
        <v>10</v>
      </c>
      <c r="BE129" s="5" t="b">
        <v>0</v>
      </c>
      <c r="BF129" s="5" t="s">
        <v>152</v>
      </c>
      <c r="BG129" s="5" t="s">
        <v>1330</v>
      </c>
      <c r="BH129" s="5">
        <v>0</v>
      </c>
      <c r="BI129" s="5" t="s">
        <v>154</v>
      </c>
      <c r="BJ129" s="5">
        <v>2</v>
      </c>
      <c r="BK129" s="5"/>
      <c r="BL129" s="5" t="b">
        <v>0</v>
      </c>
      <c r="BM129" s="5">
        <v>0</v>
      </c>
      <c r="BN129" s="5">
        <v>0</v>
      </c>
      <c r="BO129" s="5" t="s">
        <v>155</v>
      </c>
      <c r="BP129" s="5">
        <v>128</v>
      </c>
      <c r="BQ129" s="5" t="s">
        <v>156</v>
      </c>
      <c r="BR129" s="5">
        <v>2</v>
      </c>
      <c r="BS129" s="5" t="s">
        <v>157</v>
      </c>
      <c r="BT129" s="5">
        <v>0</v>
      </c>
      <c r="BU129" s="5">
        <v>96</v>
      </c>
      <c r="BV129" s="5" t="b">
        <v>0</v>
      </c>
      <c r="BW129" s="5">
        <v>1000</v>
      </c>
      <c r="BX129" s="5">
        <v>0.3</v>
      </c>
      <c r="BY129" s="5" t="b">
        <v>0</v>
      </c>
      <c r="BZ129" s="5" t="s">
        <v>1331</v>
      </c>
      <c r="CA129" s="5" t="s">
        <v>13</v>
      </c>
      <c r="CB129" s="5" t="s">
        <v>1332</v>
      </c>
      <c r="CC129" s="5" t="s">
        <v>160</v>
      </c>
      <c r="CD129" s="5">
        <v>152</v>
      </c>
      <c r="CE129" s="5">
        <v>32</v>
      </c>
      <c r="CF129" s="5" t="b">
        <v>0</v>
      </c>
      <c r="CG129" s="5" t="s">
        <v>161</v>
      </c>
      <c r="CH129" s="5">
        <v>48</v>
      </c>
      <c r="CI129" s="5">
        <v>1</v>
      </c>
      <c r="CJ129" s="5">
        <v>0.25</v>
      </c>
      <c r="CK129" s="5">
        <v>7</v>
      </c>
      <c r="CL129" s="5" t="s">
        <v>1333</v>
      </c>
      <c r="CM129" s="5">
        <v>7</v>
      </c>
      <c r="CN129" s="5" t="s">
        <v>163</v>
      </c>
      <c r="CO129" s="5">
        <v>0</v>
      </c>
      <c r="CP129" s="5" t="s">
        <v>249</v>
      </c>
      <c r="CQ129" s="5" t="s">
        <v>164</v>
      </c>
      <c r="CR129" s="5" t="s">
        <v>1330</v>
      </c>
      <c r="CS129" s="5">
        <v>3</v>
      </c>
      <c r="CT129" s="5" t="b">
        <v>0</v>
      </c>
      <c r="CU129" s="5" t="s">
        <v>165</v>
      </c>
      <c r="CV129" s="5" t="b">
        <v>1</v>
      </c>
      <c r="CW129" s="5" t="b">
        <v>0</v>
      </c>
      <c r="CX129" s="5">
        <v>1</v>
      </c>
      <c r="CY129" s="5">
        <v>2</v>
      </c>
      <c r="CZ129" s="5" t="b">
        <v>0</v>
      </c>
      <c r="DA129" s="5" t="b">
        <v>0</v>
      </c>
      <c r="DB129" s="5" t="b">
        <v>0</v>
      </c>
      <c r="DC129" s="5" t="s">
        <v>166</v>
      </c>
      <c r="DD129" s="5" t="s">
        <v>167</v>
      </c>
      <c r="DE129" s="5" t="s">
        <v>168</v>
      </c>
      <c r="DF129" s="5">
        <v>0.5</v>
      </c>
      <c r="DG129" s="5">
        <v>10</v>
      </c>
      <c r="DH129" s="5">
        <v>0.3</v>
      </c>
      <c r="DI129" s="5">
        <v>1</v>
      </c>
      <c r="DJ129" s="5">
        <v>1</v>
      </c>
      <c r="DK129" s="5" t="s">
        <v>169</v>
      </c>
      <c r="DL129" s="5" t="b">
        <v>0</v>
      </c>
      <c r="DM129" s="5">
        <v>32</v>
      </c>
      <c r="DN129" s="5">
        <v>1</v>
      </c>
      <c r="DO129" s="5" t="s">
        <v>170</v>
      </c>
      <c r="DP129" s="5" t="s">
        <v>1332</v>
      </c>
      <c r="DQ129" s="5" t="s">
        <v>171</v>
      </c>
      <c r="DR129" s="5" t="s">
        <v>172</v>
      </c>
      <c r="DS129" s="7" t="str">
        <f>_xlfn.XLOOKUP(CP129,datasetmap!B:B,datasetmap!A:A)</f>
        <v>HW</v>
      </c>
      <c r="DT129" s="8">
        <f t="shared" si="1"/>
        <v>1.354630144</v>
      </c>
    </row>
    <row r="130" ht="17.6" spans="1:124">
      <c r="A130" s="5" t="s">
        <v>1334</v>
      </c>
      <c r="B130" s="5">
        <v>32</v>
      </c>
      <c r="C130" s="5" t="s">
        <v>141</v>
      </c>
      <c r="D130" s="5" t="s">
        <v>1335</v>
      </c>
      <c r="E130" s="5" t="s">
        <v>1336</v>
      </c>
      <c r="F130" s="5" t="s">
        <v>1337</v>
      </c>
      <c r="G130" s="6">
        <v>1.7789177728191e+18</v>
      </c>
      <c r="H130" s="5">
        <v>0.835622267682312</v>
      </c>
      <c r="I130" s="5">
        <v>0.762798765836086</v>
      </c>
      <c r="J130" s="5">
        <v>0.55199747</v>
      </c>
      <c r="K130" s="5">
        <v>0.835622267682312</v>
      </c>
      <c r="L130" s="6">
        <v>1.77891777281904e+18</v>
      </c>
      <c r="M130" s="5">
        <v>0.76300578034682</v>
      </c>
      <c r="N130" s="6">
        <v>1.77891780032169e+18</v>
      </c>
      <c r="O130" s="6">
        <v>1.7789176070378e+18</v>
      </c>
      <c r="P130" s="5">
        <v>48.029025285</v>
      </c>
      <c r="Q130" s="5">
        <v>0.25</v>
      </c>
      <c r="R130" s="5">
        <v>6</v>
      </c>
      <c r="S130" s="5" t="s">
        <v>145</v>
      </c>
      <c r="T130" s="5" t="s">
        <v>146</v>
      </c>
      <c r="U130" s="5" t="b">
        <v>0</v>
      </c>
      <c r="V130" s="5">
        <v>25</v>
      </c>
      <c r="W130" s="5">
        <v>0</v>
      </c>
      <c r="X130" s="5">
        <v>10</v>
      </c>
      <c r="Y130" s="5">
        <v>8</v>
      </c>
      <c r="Z130" s="5" t="b">
        <v>0</v>
      </c>
      <c r="AA130" s="5">
        <v>4</v>
      </c>
      <c r="AB130" s="5" t="b">
        <v>0</v>
      </c>
      <c r="AC130" s="5" t="b">
        <v>0</v>
      </c>
      <c r="AD130" s="5" t="s">
        <v>147</v>
      </c>
      <c r="AE130" s="5" t="s">
        <v>1338</v>
      </c>
      <c r="AF130" s="5">
        <v>1</v>
      </c>
      <c r="AG130" s="5" t="b">
        <v>0</v>
      </c>
      <c r="AH130" s="5" t="b">
        <v>0</v>
      </c>
      <c r="AI130" s="5" t="s">
        <v>149</v>
      </c>
      <c r="AJ130" s="5">
        <v>3</v>
      </c>
      <c r="AK130" s="5" t="b">
        <v>0</v>
      </c>
      <c r="AL130" s="5">
        <v>7</v>
      </c>
      <c r="AM130" s="5">
        <v>0</v>
      </c>
      <c r="AN130" s="5">
        <v>0</v>
      </c>
      <c r="AO130" s="5" t="b">
        <v>0</v>
      </c>
      <c r="AP130" s="5">
        <v>0.001</v>
      </c>
      <c r="AQ130" s="5">
        <v>256</v>
      </c>
      <c r="AR130" s="5" t="b">
        <v>1</v>
      </c>
      <c r="AS130" s="5">
        <v>1</v>
      </c>
      <c r="AT130" s="5">
        <v>3</v>
      </c>
      <c r="AU130" s="5">
        <v>0.1</v>
      </c>
      <c r="AV130" s="5">
        <v>0.1</v>
      </c>
      <c r="AW130" s="5" t="b">
        <v>0</v>
      </c>
      <c r="AX130" s="5">
        <v>32</v>
      </c>
      <c r="AY130" s="5">
        <v>42</v>
      </c>
      <c r="AZ130" s="5">
        <v>1</v>
      </c>
      <c r="BA130" s="5">
        <v>16</v>
      </c>
      <c r="BB130" s="5" t="s">
        <v>150</v>
      </c>
      <c r="BC130" s="5" t="s">
        <v>151</v>
      </c>
      <c r="BD130" s="5">
        <v>10</v>
      </c>
      <c r="BE130" s="5" t="b">
        <v>0</v>
      </c>
      <c r="BF130" s="5" t="s">
        <v>152</v>
      </c>
      <c r="BG130" s="5" t="s">
        <v>1339</v>
      </c>
      <c r="BH130" s="5">
        <v>0</v>
      </c>
      <c r="BI130" s="5" t="s">
        <v>154</v>
      </c>
      <c r="BJ130" s="5">
        <v>2</v>
      </c>
      <c r="BK130" s="5"/>
      <c r="BL130" s="5" t="b">
        <v>0</v>
      </c>
      <c r="BM130" s="5">
        <v>0</v>
      </c>
      <c r="BN130" s="5">
        <v>0</v>
      </c>
      <c r="BO130" s="5" t="s">
        <v>155</v>
      </c>
      <c r="BP130" s="5">
        <v>128</v>
      </c>
      <c r="BQ130" s="5" t="s">
        <v>156</v>
      </c>
      <c r="BR130" s="5">
        <v>2</v>
      </c>
      <c r="BS130" s="5" t="s">
        <v>157</v>
      </c>
      <c r="BT130" s="5">
        <v>0</v>
      </c>
      <c r="BU130" s="5">
        <v>96</v>
      </c>
      <c r="BV130" s="5" t="b">
        <v>0</v>
      </c>
      <c r="BW130" s="5">
        <v>1000</v>
      </c>
      <c r="BX130" s="5">
        <v>0.3</v>
      </c>
      <c r="BY130" s="5" t="b">
        <v>0</v>
      </c>
      <c r="BZ130" s="5" t="s">
        <v>1340</v>
      </c>
      <c r="CA130" s="5" t="s">
        <v>13</v>
      </c>
      <c r="CB130" s="5" t="s">
        <v>1341</v>
      </c>
      <c r="CC130" s="5" t="s">
        <v>160</v>
      </c>
      <c r="CD130" s="5">
        <v>144</v>
      </c>
      <c r="CE130" s="5">
        <v>32</v>
      </c>
      <c r="CF130" s="5" t="b">
        <v>0</v>
      </c>
      <c r="CG130" s="5" t="s">
        <v>161</v>
      </c>
      <c r="CH130" s="5">
        <v>48</v>
      </c>
      <c r="CI130" s="5">
        <v>1</v>
      </c>
      <c r="CJ130" s="5">
        <v>0.25</v>
      </c>
      <c r="CK130" s="5">
        <v>7</v>
      </c>
      <c r="CL130" s="5" t="s">
        <v>1342</v>
      </c>
      <c r="CM130" s="5">
        <v>7</v>
      </c>
      <c r="CN130" s="5" t="s">
        <v>163</v>
      </c>
      <c r="CO130" s="5">
        <v>0</v>
      </c>
      <c r="CP130" s="5" t="s">
        <v>8</v>
      </c>
      <c r="CQ130" s="5" t="s">
        <v>164</v>
      </c>
      <c r="CR130" s="5" t="s">
        <v>1339</v>
      </c>
      <c r="CS130" s="5">
        <v>963</v>
      </c>
      <c r="CT130" s="5" t="b">
        <v>0</v>
      </c>
      <c r="CU130" s="5" t="s">
        <v>165</v>
      </c>
      <c r="CV130" s="5" t="b">
        <v>1</v>
      </c>
      <c r="CW130" s="5" t="b">
        <v>0</v>
      </c>
      <c r="CX130" s="5">
        <v>1</v>
      </c>
      <c r="CY130" s="5">
        <v>2</v>
      </c>
      <c r="CZ130" s="5" t="b">
        <v>0</v>
      </c>
      <c r="DA130" s="5" t="b">
        <v>0</v>
      </c>
      <c r="DB130" s="5" t="b">
        <v>0</v>
      </c>
      <c r="DC130" s="5" t="s">
        <v>166</v>
      </c>
      <c r="DD130" s="5" t="s">
        <v>167</v>
      </c>
      <c r="DE130" s="5" t="s">
        <v>168</v>
      </c>
      <c r="DF130" s="5">
        <v>0.5</v>
      </c>
      <c r="DG130" s="5">
        <v>10</v>
      </c>
      <c r="DH130" s="5">
        <v>0.3</v>
      </c>
      <c r="DI130" s="5">
        <v>1</v>
      </c>
      <c r="DJ130" s="5">
        <v>1</v>
      </c>
      <c r="DK130" s="5" t="s">
        <v>169</v>
      </c>
      <c r="DL130" s="5" t="b">
        <v>0</v>
      </c>
      <c r="DM130" s="5">
        <v>32</v>
      </c>
      <c r="DN130" s="5">
        <v>1</v>
      </c>
      <c r="DO130" s="5" t="s">
        <v>170</v>
      </c>
      <c r="DP130" s="5" t="s">
        <v>1341</v>
      </c>
      <c r="DQ130" s="5" t="s">
        <v>171</v>
      </c>
      <c r="DR130" s="5" t="s">
        <v>172</v>
      </c>
      <c r="DS130" s="7" t="str">
        <f>_xlfn.XLOOKUP(CP130,datasetmap!B:B,datasetmap!A:A)</f>
        <v>PEMS-SF</v>
      </c>
      <c r="DT130" s="8">
        <f t="shared" si="1"/>
        <v>27.502590208</v>
      </c>
    </row>
    <row r="131" ht="17.6" spans="1:124">
      <c r="A131" s="5" t="s">
        <v>1343</v>
      </c>
      <c r="B131" s="5">
        <v>32</v>
      </c>
      <c r="C131" s="5" t="s">
        <v>141</v>
      </c>
      <c r="D131" s="5" t="s">
        <v>1344</v>
      </c>
      <c r="E131" s="5" t="s">
        <v>1345</v>
      </c>
      <c r="F131" s="5" t="s">
        <v>1346</v>
      </c>
      <c r="G131" s="6">
        <v>1.77891768544078e+18</v>
      </c>
      <c r="H131" s="5">
        <v>0.255918241134009</v>
      </c>
      <c r="I131" s="5">
        <v>0.25332961953901</v>
      </c>
      <c r="J131" s="5">
        <v>0.805954379</v>
      </c>
      <c r="K131" s="5">
        <v>0.255918241134009</v>
      </c>
      <c r="L131" s="6">
        <v>1.7789176854407e+18</v>
      </c>
      <c r="M131" s="5">
        <v>0.258555133079847</v>
      </c>
      <c r="N131" s="6">
        <v>1.7789176868105e+18</v>
      </c>
      <c r="O131" s="6">
        <v>1.77891764763184e+18</v>
      </c>
      <c r="P131" s="5">
        <v>35.985660579</v>
      </c>
      <c r="Q131" s="5">
        <v>0.25</v>
      </c>
      <c r="R131" s="5">
        <v>6</v>
      </c>
      <c r="S131" s="5" t="s">
        <v>145</v>
      </c>
      <c r="T131" s="5" t="s">
        <v>146</v>
      </c>
      <c r="U131" s="5" t="b">
        <v>0</v>
      </c>
      <c r="V131" s="5">
        <v>25</v>
      </c>
      <c r="W131" s="5">
        <v>0</v>
      </c>
      <c r="X131" s="5">
        <v>10</v>
      </c>
      <c r="Y131" s="5">
        <v>8</v>
      </c>
      <c r="Z131" s="5" t="b">
        <v>0</v>
      </c>
      <c r="AA131" s="5">
        <v>4</v>
      </c>
      <c r="AB131" s="5" t="b">
        <v>0</v>
      </c>
      <c r="AC131" s="5" t="b">
        <v>0</v>
      </c>
      <c r="AD131" s="5" t="s">
        <v>147</v>
      </c>
      <c r="AE131" s="5" t="s">
        <v>1347</v>
      </c>
      <c r="AF131" s="5">
        <v>1</v>
      </c>
      <c r="AG131" s="5" t="b">
        <v>0</v>
      </c>
      <c r="AH131" s="5" t="b">
        <v>0</v>
      </c>
      <c r="AI131" s="5" t="s">
        <v>149</v>
      </c>
      <c r="AJ131" s="5">
        <v>3</v>
      </c>
      <c r="AK131" s="5" t="b">
        <v>0</v>
      </c>
      <c r="AL131" s="5">
        <v>4</v>
      </c>
      <c r="AM131" s="5">
        <v>0</v>
      </c>
      <c r="AN131" s="5">
        <v>0</v>
      </c>
      <c r="AO131" s="5" t="b">
        <v>0</v>
      </c>
      <c r="AP131" s="5">
        <v>0.001</v>
      </c>
      <c r="AQ131" s="5">
        <v>256</v>
      </c>
      <c r="AR131" s="5" t="b">
        <v>1</v>
      </c>
      <c r="AS131" s="5">
        <v>1</v>
      </c>
      <c r="AT131" s="5">
        <v>3</v>
      </c>
      <c r="AU131" s="5">
        <v>0.1</v>
      </c>
      <c r="AV131" s="5">
        <v>0.1</v>
      </c>
      <c r="AW131" s="5" t="b">
        <v>0</v>
      </c>
      <c r="AX131" s="5">
        <v>32</v>
      </c>
      <c r="AY131" s="5">
        <v>123</v>
      </c>
      <c r="AZ131" s="5">
        <v>1</v>
      </c>
      <c r="BA131" s="5">
        <v>16</v>
      </c>
      <c r="BB131" s="5" t="s">
        <v>264</v>
      </c>
      <c r="BC131" s="5" t="s">
        <v>151</v>
      </c>
      <c r="BD131" s="5">
        <v>10</v>
      </c>
      <c r="BE131" s="5" t="b">
        <v>0</v>
      </c>
      <c r="BF131" s="5" t="s">
        <v>152</v>
      </c>
      <c r="BG131" s="5" t="s">
        <v>1348</v>
      </c>
      <c r="BH131" s="5">
        <v>0</v>
      </c>
      <c r="BI131" s="5" t="s">
        <v>154</v>
      </c>
      <c r="BJ131" s="5">
        <v>2</v>
      </c>
      <c r="BK131" s="5"/>
      <c r="BL131" s="5" t="b">
        <v>0</v>
      </c>
      <c r="BM131" s="5">
        <v>0</v>
      </c>
      <c r="BN131" s="5">
        <v>0</v>
      </c>
      <c r="BO131" s="5" t="s">
        <v>155</v>
      </c>
      <c r="BP131" s="5">
        <v>128</v>
      </c>
      <c r="BQ131" s="5" t="s">
        <v>156</v>
      </c>
      <c r="BR131" s="5">
        <v>2</v>
      </c>
      <c r="BS131" s="5" t="s">
        <v>157</v>
      </c>
      <c r="BT131" s="5">
        <v>0</v>
      </c>
      <c r="BU131" s="5">
        <v>96</v>
      </c>
      <c r="BV131" s="5" t="b">
        <v>0</v>
      </c>
      <c r="BW131" s="5">
        <v>1000</v>
      </c>
      <c r="BX131" s="5">
        <v>0.3</v>
      </c>
      <c r="BY131" s="5" t="b">
        <v>0</v>
      </c>
      <c r="BZ131" s="5" t="s">
        <v>1349</v>
      </c>
      <c r="CA131" s="5" t="s">
        <v>13</v>
      </c>
      <c r="CB131" s="5" t="s">
        <v>1350</v>
      </c>
      <c r="CC131" s="5" t="s">
        <v>160</v>
      </c>
      <c r="CD131" s="5">
        <v>1751</v>
      </c>
      <c r="CE131" s="5">
        <v>32</v>
      </c>
      <c r="CF131" s="5" t="b">
        <v>0</v>
      </c>
      <c r="CG131" s="5" t="s">
        <v>161</v>
      </c>
      <c r="CH131" s="5">
        <v>48</v>
      </c>
      <c r="CI131" s="5">
        <v>1</v>
      </c>
      <c r="CJ131" s="5">
        <v>0.25</v>
      </c>
      <c r="CK131" s="5">
        <v>7</v>
      </c>
      <c r="CL131" s="5" t="s">
        <v>1351</v>
      </c>
      <c r="CM131" s="5">
        <v>7</v>
      </c>
      <c r="CN131" s="5" t="s">
        <v>163</v>
      </c>
      <c r="CO131" s="5">
        <v>0</v>
      </c>
      <c r="CP131" s="5" t="s">
        <v>269</v>
      </c>
      <c r="CQ131" s="5" t="s">
        <v>164</v>
      </c>
      <c r="CR131" s="5" t="s">
        <v>1348</v>
      </c>
      <c r="CS131" s="5">
        <v>3</v>
      </c>
      <c r="CT131" s="5" t="b">
        <v>0</v>
      </c>
      <c r="CU131" s="5" t="s">
        <v>165</v>
      </c>
      <c r="CV131" s="5" t="b">
        <v>1</v>
      </c>
      <c r="CW131" s="5" t="b">
        <v>0</v>
      </c>
      <c r="CX131" s="5">
        <v>1</v>
      </c>
      <c r="CY131" s="5">
        <v>2</v>
      </c>
      <c r="CZ131" s="5" t="b">
        <v>0</v>
      </c>
      <c r="DA131" s="5" t="b">
        <v>0</v>
      </c>
      <c r="DB131" s="5" t="b">
        <v>0</v>
      </c>
      <c r="DC131" s="5" t="s">
        <v>166</v>
      </c>
      <c r="DD131" s="5" t="s">
        <v>167</v>
      </c>
      <c r="DE131" s="5" t="s">
        <v>168</v>
      </c>
      <c r="DF131" s="5">
        <v>0.5</v>
      </c>
      <c r="DG131" s="5">
        <v>10</v>
      </c>
      <c r="DH131" s="5">
        <v>0.3</v>
      </c>
      <c r="DI131" s="5">
        <v>1</v>
      </c>
      <c r="DJ131" s="5">
        <v>1</v>
      </c>
      <c r="DK131" s="5" t="s">
        <v>169</v>
      </c>
      <c r="DL131" s="5" t="b">
        <v>0</v>
      </c>
      <c r="DM131" s="5">
        <v>32</v>
      </c>
      <c r="DN131" s="5">
        <v>1</v>
      </c>
      <c r="DO131" s="5" t="s">
        <v>170</v>
      </c>
      <c r="DP131" s="5" t="s">
        <v>1350</v>
      </c>
      <c r="DQ131" s="5" t="s">
        <v>171</v>
      </c>
      <c r="DR131" s="5" t="s">
        <v>172</v>
      </c>
      <c r="DS131" s="7" t="str">
        <f>_xlfn.XLOOKUP(CP131,datasetmap!B:B,datasetmap!A:A)</f>
        <v>EC</v>
      </c>
      <c r="DT131" s="8">
        <f t="shared" ref="DT131:DT151" si="2">(N131-G131)/1000000000</f>
        <v>1.369720064</v>
      </c>
    </row>
    <row r="132" ht="17.6" spans="1:124">
      <c r="A132" s="5" t="s">
        <v>1352</v>
      </c>
      <c r="B132" s="5">
        <v>32</v>
      </c>
      <c r="C132" s="5" t="s">
        <v>141</v>
      </c>
      <c r="D132" s="5" t="s">
        <v>1353</v>
      </c>
      <c r="E132" s="5" t="s">
        <v>1354</v>
      </c>
      <c r="F132" s="5" t="s">
        <v>1355</v>
      </c>
      <c r="G132" s="6">
        <v>1.77891762859678e+18</v>
      </c>
      <c r="H132" s="5">
        <v>0.924393798951725</v>
      </c>
      <c r="I132" s="5">
        <v>0.918677578894006</v>
      </c>
      <c r="J132" s="5">
        <v>0.408928531</v>
      </c>
      <c r="K132" s="5">
        <v>0.924393798951725</v>
      </c>
      <c r="L132" s="6">
        <v>1.77891762859673e+18</v>
      </c>
      <c r="M132" s="5">
        <v>0.91875</v>
      </c>
      <c r="N132" s="6">
        <v>1.77891762936226e+18</v>
      </c>
      <c r="O132" s="6">
        <v>1.77891755453849e+18</v>
      </c>
      <c r="P132" s="5">
        <v>73.175678095</v>
      </c>
      <c r="Q132" s="5">
        <v>0.25</v>
      </c>
      <c r="R132" s="5">
        <v>6</v>
      </c>
      <c r="S132" s="5" t="s">
        <v>145</v>
      </c>
      <c r="T132" s="5" t="s">
        <v>146</v>
      </c>
      <c r="U132" s="5" t="b">
        <v>0</v>
      </c>
      <c r="V132" s="5">
        <v>25</v>
      </c>
      <c r="W132" s="5">
        <v>0</v>
      </c>
      <c r="X132" s="5">
        <v>10</v>
      </c>
      <c r="Y132" s="5">
        <v>8</v>
      </c>
      <c r="Z132" s="5" t="b">
        <v>0</v>
      </c>
      <c r="AA132" s="5">
        <v>4</v>
      </c>
      <c r="AB132" s="5" t="b">
        <v>0</v>
      </c>
      <c r="AC132" s="5" t="b">
        <v>0</v>
      </c>
      <c r="AD132" s="5" t="s">
        <v>147</v>
      </c>
      <c r="AE132" s="5" t="s">
        <v>1356</v>
      </c>
      <c r="AF132" s="5">
        <v>1</v>
      </c>
      <c r="AG132" s="5" t="b">
        <v>0</v>
      </c>
      <c r="AH132" s="5" t="b">
        <v>0</v>
      </c>
      <c r="AI132" s="5" t="s">
        <v>149</v>
      </c>
      <c r="AJ132" s="5">
        <v>3</v>
      </c>
      <c r="AK132" s="5" t="b">
        <v>0</v>
      </c>
      <c r="AL132" s="5">
        <v>8</v>
      </c>
      <c r="AM132" s="5">
        <v>0</v>
      </c>
      <c r="AN132" s="5">
        <v>0</v>
      </c>
      <c r="AO132" s="5" t="b">
        <v>0</v>
      </c>
      <c r="AP132" s="5">
        <v>0.001</v>
      </c>
      <c r="AQ132" s="5">
        <v>256</v>
      </c>
      <c r="AR132" s="5" t="b">
        <v>1</v>
      </c>
      <c r="AS132" s="5">
        <v>1</v>
      </c>
      <c r="AT132" s="5">
        <v>3</v>
      </c>
      <c r="AU132" s="5">
        <v>0.1</v>
      </c>
      <c r="AV132" s="5">
        <v>0.1</v>
      </c>
      <c r="AW132" s="5" t="b">
        <v>0</v>
      </c>
      <c r="AX132" s="5">
        <v>32</v>
      </c>
      <c r="AY132" s="5">
        <v>123</v>
      </c>
      <c r="AZ132" s="5">
        <v>1</v>
      </c>
      <c r="BA132" s="5">
        <v>16</v>
      </c>
      <c r="BB132" s="5" t="s">
        <v>275</v>
      </c>
      <c r="BC132" s="5" t="s">
        <v>151</v>
      </c>
      <c r="BD132" s="5">
        <v>10</v>
      </c>
      <c r="BE132" s="5" t="b">
        <v>0</v>
      </c>
      <c r="BF132" s="5" t="s">
        <v>152</v>
      </c>
      <c r="BG132" s="5" t="s">
        <v>1357</v>
      </c>
      <c r="BH132" s="5">
        <v>0</v>
      </c>
      <c r="BI132" s="5" t="s">
        <v>154</v>
      </c>
      <c r="BJ132" s="5">
        <v>2</v>
      </c>
      <c r="BK132" s="5"/>
      <c r="BL132" s="5" t="b">
        <v>0</v>
      </c>
      <c r="BM132" s="5">
        <v>0</v>
      </c>
      <c r="BN132" s="5">
        <v>0</v>
      </c>
      <c r="BO132" s="5" t="s">
        <v>155</v>
      </c>
      <c r="BP132" s="5">
        <v>128</v>
      </c>
      <c r="BQ132" s="5" t="s">
        <v>156</v>
      </c>
      <c r="BR132" s="5">
        <v>2</v>
      </c>
      <c r="BS132" s="5" t="s">
        <v>157</v>
      </c>
      <c r="BT132" s="5">
        <v>0</v>
      </c>
      <c r="BU132" s="5">
        <v>96</v>
      </c>
      <c r="BV132" s="5" t="b">
        <v>0</v>
      </c>
      <c r="BW132" s="5">
        <v>1000</v>
      </c>
      <c r="BX132" s="5">
        <v>0.3</v>
      </c>
      <c r="BY132" s="5" t="b">
        <v>0</v>
      </c>
      <c r="BZ132" s="5" t="s">
        <v>1358</v>
      </c>
      <c r="CA132" s="5" t="s">
        <v>13</v>
      </c>
      <c r="CB132" s="5" t="s">
        <v>1359</v>
      </c>
      <c r="CC132" s="5" t="s">
        <v>160</v>
      </c>
      <c r="CD132" s="5">
        <v>315</v>
      </c>
      <c r="CE132" s="5">
        <v>32</v>
      </c>
      <c r="CF132" s="5" t="b">
        <v>0</v>
      </c>
      <c r="CG132" s="5" t="s">
        <v>161</v>
      </c>
      <c r="CH132" s="5">
        <v>48</v>
      </c>
      <c r="CI132" s="5">
        <v>1</v>
      </c>
      <c r="CJ132" s="5">
        <v>0.25</v>
      </c>
      <c r="CK132" s="5">
        <v>7</v>
      </c>
      <c r="CL132" s="5" t="s">
        <v>1360</v>
      </c>
      <c r="CM132" s="5">
        <v>7</v>
      </c>
      <c r="CN132" s="5" t="s">
        <v>163</v>
      </c>
      <c r="CO132" s="5">
        <v>0</v>
      </c>
      <c r="CP132" s="5" t="s">
        <v>280</v>
      </c>
      <c r="CQ132" s="5" t="s">
        <v>164</v>
      </c>
      <c r="CR132" s="5" t="s">
        <v>1357</v>
      </c>
      <c r="CS132" s="5">
        <v>3</v>
      </c>
      <c r="CT132" s="5" t="b">
        <v>0</v>
      </c>
      <c r="CU132" s="5" t="s">
        <v>165</v>
      </c>
      <c r="CV132" s="5" t="b">
        <v>1</v>
      </c>
      <c r="CW132" s="5" t="b">
        <v>0</v>
      </c>
      <c r="CX132" s="5">
        <v>1</v>
      </c>
      <c r="CY132" s="5">
        <v>2</v>
      </c>
      <c r="CZ132" s="5" t="b">
        <v>0</v>
      </c>
      <c r="DA132" s="5" t="b">
        <v>0</v>
      </c>
      <c r="DB132" s="5" t="b">
        <v>0</v>
      </c>
      <c r="DC132" s="5" t="s">
        <v>166</v>
      </c>
      <c r="DD132" s="5" t="s">
        <v>167</v>
      </c>
      <c r="DE132" s="5" t="s">
        <v>168</v>
      </c>
      <c r="DF132" s="5">
        <v>0.5</v>
      </c>
      <c r="DG132" s="5">
        <v>10</v>
      </c>
      <c r="DH132" s="5">
        <v>0.3</v>
      </c>
      <c r="DI132" s="5">
        <v>1</v>
      </c>
      <c r="DJ132" s="5">
        <v>1</v>
      </c>
      <c r="DK132" s="5" t="s">
        <v>169</v>
      </c>
      <c r="DL132" s="5" t="b">
        <v>0</v>
      </c>
      <c r="DM132" s="5">
        <v>32</v>
      </c>
      <c r="DN132" s="5">
        <v>1</v>
      </c>
      <c r="DO132" s="5" t="s">
        <v>170</v>
      </c>
      <c r="DP132" s="5" t="s">
        <v>1359</v>
      </c>
      <c r="DQ132" s="5" t="s">
        <v>171</v>
      </c>
      <c r="DR132" s="5" t="s">
        <v>172</v>
      </c>
      <c r="DS132" s="7" t="str">
        <f>_xlfn.XLOOKUP(CP132,datasetmap!B:B,datasetmap!A:A)</f>
        <v>UWG</v>
      </c>
      <c r="DT132" s="8">
        <f t="shared" si="2"/>
        <v>0.765479936</v>
      </c>
    </row>
    <row r="133" ht="17.6" spans="1:124">
      <c r="A133" s="5" t="s">
        <v>1361</v>
      </c>
      <c r="B133" s="5">
        <v>32</v>
      </c>
      <c r="C133" s="5" t="s">
        <v>141</v>
      </c>
      <c r="D133" s="5" t="s">
        <v>1362</v>
      </c>
      <c r="E133" s="5" t="s">
        <v>1363</v>
      </c>
      <c r="F133" s="5" t="s">
        <v>1364</v>
      </c>
      <c r="G133" s="6">
        <v>1.77891747048648e+18</v>
      </c>
      <c r="H133" s="5">
        <v>0.653834512944682</v>
      </c>
      <c r="I133" s="5">
        <v>0.652896761336579</v>
      </c>
      <c r="J133" s="5">
        <v>0.832974486</v>
      </c>
      <c r="K133" s="5">
        <v>0.653834512944682</v>
      </c>
      <c r="L133" s="6">
        <v>1.7789174704864e+18</v>
      </c>
      <c r="M133" s="5">
        <v>0.653234960272417</v>
      </c>
      <c r="N133" s="6">
        <v>1.77891753761625e+18</v>
      </c>
      <c r="O133" s="6">
        <v>1.77891714478426e+18</v>
      </c>
      <c r="P133" s="5">
        <v>60.766487678</v>
      </c>
      <c r="Q133" s="5">
        <v>0.25</v>
      </c>
      <c r="R133" s="5">
        <v>6</v>
      </c>
      <c r="S133" s="5" t="s">
        <v>145</v>
      </c>
      <c r="T133" s="5" t="s">
        <v>146</v>
      </c>
      <c r="U133" s="5" t="b">
        <v>0</v>
      </c>
      <c r="V133" s="5">
        <v>25</v>
      </c>
      <c r="W133" s="5">
        <v>0</v>
      </c>
      <c r="X133" s="5">
        <v>10</v>
      </c>
      <c r="Y133" s="5">
        <v>8</v>
      </c>
      <c r="Z133" s="5" t="b">
        <v>0</v>
      </c>
      <c r="AA133" s="5">
        <v>4</v>
      </c>
      <c r="AB133" s="5" t="b">
        <v>0</v>
      </c>
      <c r="AC133" s="5" t="b">
        <v>0</v>
      </c>
      <c r="AD133" s="5" t="s">
        <v>147</v>
      </c>
      <c r="AE133" s="5" t="s">
        <v>1365</v>
      </c>
      <c r="AF133" s="5">
        <v>1</v>
      </c>
      <c r="AG133" s="5" t="b">
        <v>0</v>
      </c>
      <c r="AH133" s="5" t="b">
        <v>0</v>
      </c>
      <c r="AI133" s="5" t="s">
        <v>149</v>
      </c>
      <c r="AJ133" s="5">
        <v>3</v>
      </c>
      <c r="AK133" s="5" t="b">
        <v>0</v>
      </c>
      <c r="AL133" s="5">
        <v>2</v>
      </c>
      <c r="AM133" s="5">
        <v>0</v>
      </c>
      <c r="AN133" s="5">
        <v>0</v>
      </c>
      <c r="AO133" s="5" t="b">
        <v>0</v>
      </c>
      <c r="AP133" s="5">
        <v>0.001</v>
      </c>
      <c r="AQ133" s="5">
        <v>256</v>
      </c>
      <c r="AR133" s="5" t="b">
        <v>1</v>
      </c>
      <c r="AS133" s="5">
        <v>1</v>
      </c>
      <c r="AT133" s="5">
        <v>3</v>
      </c>
      <c r="AU133" s="5">
        <v>0.1</v>
      </c>
      <c r="AV133" s="5">
        <v>0.1</v>
      </c>
      <c r="AW133" s="5" t="b">
        <v>0</v>
      </c>
      <c r="AX133" s="5">
        <v>32</v>
      </c>
      <c r="AY133" s="5">
        <v>42</v>
      </c>
      <c r="AZ133" s="5">
        <v>1</v>
      </c>
      <c r="BA133" s="5">
        <v>16</v>
      </c>
      <c r="BB133" s="5" t="s">
        <v>189</v>
      </c>
      <c r="BC133" s="5" t="s">
        <v>151</v>
      </c>
      <c r="BD133" s="5">
        <v>10</v>
      </c>
      <c r="BE133" s="5" t="b">
        <v>0</v>
      </c>
      <c r="BF133" s="5" t="s">
        <v>152</v>
      </c>
      <c r="BG133" s="5" t="s">
        <v>1366</v>
      </c>
      <c r="BH133" s="5">
        <v>0</v>
      </c>
      <c r="BI133" s="5" t="s">
        <v>154</v>
      </c>
      <c r="BJ133" s="5">
        <v>2</v>
      </c>
      <c r="BK133" s="5"/>
      <c r="BL133" s="5" t="b">
        <v>0</v>
      </c>
      <c r="BM133" s="5">
        <v>0</v>
      </c>
      <c r="BN133" s="5">
        <v>0</v>
      </c>
      <c r="BO133" s="5" t="s">
        <v>155</v>
      </c>
      <c r="BP133" s="5">
        <v>128</v>
      </c>
      <c r="BQ133" s="5" t="s">
        <v>156</v>
      </c>
      <c r="BR133" s="5">
        <v>2</v>
      </c>
      <c r="BS133" s="5" t="s">
        <v>157</v>
      </c>
      <c r="BT133" s="5">
        <v>0</v>
      </c>
      <c r="BU133" s="5">
        <v>96</v>
      </c>
      <c r="BV133" s="5" t="b">
        <v>0</v>
      </c>
      <c r="BW133" s="5">
        <v>1000</v>
      </c>
      <c r="BX133" s="5">
        <v>0.3</v>
      </c>
      <c r="BY133" s="5" t="b">
        <v>0</v>
      </c>
      <c r="BZ133" s="5" t="s">
        <v>1367</v>
      </c>
      <c r="CA133" s="5" t="s">
        <v>13</v>
      </c>
      <c r="CB133" s="5" t="s">
        <v>1368</v>
      </c>
      <c r="CC133" s="5" t="s">
        <v>160</v>
      </c>
      <c r="CD133" s="5">
        <v>62</v>
      </c>
      <c r="CE133" s="5">
        <v>32</v>
      </c>
      <c r="CF133" s="5" t="b">
        <v>0</v>
      </c>
      <c r="CG133" s="5" t="s">
        <v>161</v>
      </c>
      <c r="CH133" s="5">
        <v>48</v>
      </c>
      <c r="CI133" s="5">
        <v>1</v>
      </c>
      <c r="CJ133" s="5">
        <v>0.25</v>
      </c>
      <c r="CK133" s="5">
        <v>7</v>
      </c>
      <c r="CL133" s="5" t="s">
        <v>1369</v>
      </c>
      <c r="CM133" s="5">
        <v>7</v>
      </c>
      <c r="CN133" s="5" t="s">
        <v>163</v>
      </c>
      <c r="CO133" s="5">
        <v>0</v>
      </c>
      <c r="CP133" s="5" t="s">
        <v>194</v>
      </c>
      <c r="CQ133" s="5" t="s">
        <v>164</v>
      </c>
      <c r="CR133" s="5" t="s">
        <v>1366</v>
      </c>
      <c r="CS133" s="5">
        <v>144</v>
      </c>
      <c r="CT133" s="5" t="b">
        <v>0</v>
      </c>
      <c r="CU133" s="5" t="s">
        <v>165</v>
      </c>
      <c r="CV133" s="5" t="b">
        <v>1</v>
      </c>
      <c r="CW133" s="5" t="b">
        <v>0</v>
      </c>
      <c r="CX133" s="5">
        <v>1</v>
      </c>
      <c r="CY133" s="5">
        <v>2</v>
      </c>
      <c r="CZ133" s="5" t="b">
        <v>0</v>
      </c>
      <c r="DA133" s="5" t="b">
        <v>0</v>
      </c>
      <c r="DB133" s="5" t="b">
        <v>0</v>
      </c>
      <c r="DC133" s="5" t="s">
        <v>166</v>
      </c>
      <c r="DD133" s="5" t="s">
        <v>167</v>
      </c>
      <c r="DE133" s="5" t="s">
        <v>168</v>
      </c>
      <c r="DF133" s="5">
        <v>0.5</v>
      </c>
      <c r="DG133" s="5">
        <v>10</v>
      </c>
      <c r="DH133" s="5">
        <v>0.3</v>
      </c>
      <c r="DI133" s="5">
        <v>1</v>
      </c>
      <c r="DJ133" s="5">
        <v>1</v>
      </c>
      <c r="DK133" s="5" t="s">
        <v>169</v>
      </c>
      <c r="DL133" s="5" t="b">
        <v>0</v>
      </c>
      <c r="DM133" s="5">
        <v>32</v>
      </c>
      <c r="DN133" s="5">
        <v>1</v>
      </c>
      <c r="DO133" s="5" t="s">
        <v>170</v>
      </c>
      <c r="DP133" s="5" t="s">
        <v>1368</v>
      </c>
      <c r="DQ133" s="5" t="s">
        <v>171</v>
      </c>
      <c r="DR133" s="5" t="s">
        <v>172</v>
      </c>
      <c r="DS133" s="7" t="str">
        <f>_xlfn.XLOOKUP(CP133,datasetmap!B:B,datasetmap!A:A)</f>
        <v>FD</v>
      </c>
      <c r="DT133" s="8">
        <f t="shared" si="2"/>
        <v>67.12977024</v>
      </c>
    </row>
    <row r="134" ht="17.6" spans="1:124">
      <c r="A134" s="5" t="s">
        <v>1370</v>
      </c>
      <c r="B134" s="5">
        <v>32</v>
      </c>
      <c r="C134" s="5" t="s">
        <v>141</v>
      </c>
      <c r="D134" s="5" t="s">
        <v>1371</v>
      </c>
      <c r="E134" s="5" t="s">
        <v>1372</v>
      </c>
      <c r="F134" s="5" t="s">
        <v>1373</v>
      </c>
      <c r="G134" s="6">
        <v>1.7789174488121e+18</v>
      </c>
      <c r="H134" s="5">
        <v>0.990651614556155</v>
      </c>
      <c r="I134" s="5">
        <v>0.990460940490468</v>
      </c>
      <c r="J134" s="5">
        <v>0.717638923</v>
      </c>
      <c r="K134" s="5">
        <v>0.990651614556155</v>
      </c>
      <c r="L134" s="6">
        <v>1.77891744881198e+18</v>
      </c>
      <c r="M134" s="5">
        <v>0.990450204638472</v>
      </c>
      <c r="N134" s="6">
        <v>1.77891745416075e+18</v>
      </c>
      <c r="O134" s="6">
        <v>1.77891733499062e+18</v>
      </c>
      <c r="P134" s="5">
        <v>92.368523913</v>
      </c>
      <c r="Q134" s="5">
        <v>0.25</v>
      </c>
      <c r="R134" s="5">
        <v>6</v>
      </c>
      <c r="S134" s="5" t="s">
        <v>145</v>
      </c>
      <c r="T134" s="5" t="s">
        <v>146</v>
      </c>
      <c r="U134" s="5" t="b">
        <v>0</v>
      </c>
      <c r="V134" s="5">
        <v>25</v>
      </c>
      <c r="W134" s="5">
        <v>0</v>
      </c>
      <c r="X134" s="5">
        <v>10</v>
      </c>
      <c r="Y134" s="5">
        <v>8</v>
      </c>
      <c r="Z134" s="5" t="b">
        <v>0</v>
      </c>
      <c r="AA134" s="5">
        <v>4</v>
      </c>
      <c r="AB134" s="5" t="b">
        <v>0</v>
      </c>
      <c r="AC134" s="5" t="b">
        <v>0</v>
      </c>
      <c r="AD134" s="5" t="s">
        <v>147</v>
      </c>
      <c r="AE134" s="5" t="s">
        <v>1374</v>
      </c>
      <c r="AF134" s="5">
        <v>1</v>
      </c>
      <c r="AG134" s="5" t="b">
        <v>0</v>
      </c>
      <c r="AH134" s="5" t="b">
        <v>0</v>
      </c>
      <c r="AI134" s="5" t="s">
        <v>149</v>
      </c>
      <c r="AJ134" s="5">
        <v>3</v>
      </c>
      <c r="AK134" s="5" t="b">
        <v>0</v>
      </c>
      <c r="AL134" s="5">
        <v>10</v>
      </c>
      <c r="AM134" s="5">
        <v>0</v>
      </c>
      <c r="AN134" s="5">
        <v>0</v>
      </c>
      <c r="AO134" s="5" t="b">
        <v>0</v>
      </c>
      <c r="AP134" s="5">
        <v>0.001</v>
      </c>
      <c r="AQ134" s="5">
        <v>256</v>
      </c>
      <c r="AR134" s="5" t="b">
        <v>1</v>
      </c>
      <c r="AS134" s="5">
        <v>1</v>
      </c>
      <c r="AT134" s="5">
        <v>3</v>
      </c>
      <c r="AU134" s="5">
        <v>0.1</v>
      </c>
      <c r="AV134" s="5">
        <v>0.1</v>
      </c>
      <c r="AW134" s="5" t="b">
        <v>0</v>
      </c>
      <c r="AX134" s="5">
        <v>32</v>
      </c>
      <c r="AY134" s="5">
        <v>42</v>
      </c>
      <c r="AZ134" s="5">
        <v>1</v>
      </c>
      <c r="BA134" s="5">
        <v>16</v>
      </c>
      <c r="BB134" s="5" t="s">
        <v>178</v>
      </c>
      <c r="BC134" s="5" t="s">
        <v>151</v>
      </c>
      <c r="BD134" s="5">
        <v>10</v>
      </c>
      <c r="BE134" s="5" t="b">
        <v>0</v>
      </c>
      <c r="BF134" s="5" t="s">
        <v>152</v>
      </c>
      <c r="BG134" s="5" t="s">
        <v>1375</v>
      </c>
      <c r="BH134" s="5">
        <v>0</v>
      </c>
      <c r="BI134" s="5" t="s">
        <v>154</v>
      </c>
      <c r="BJ134" s="5">
        <v>2</v>
      </c>
      <c r="BK134" s="5"/>
      <c r="BL134" s="5" t="b">
        <v>0</v>
      </c>
      <c r="BM134" s="5">
        <v>0</v>
      </c>
      <c r="BN134" s="5">
        <v>0</v>
      </c>
      <c r="BO134" s="5" t="s">
        <v>155</v>
      </c>
      <c r="BP134" s="5">
        <v>128</v>
      </c>
      <c r="BQ134" s="5" t="s">
        <v>156</v>
      </c>
      <c r="BR134" s="5">
        <v>2</v>
      </c>
      <c r="BS134" s="5" t="s">
        <v>157</v>
      </c>
      <c r="BT134" s="5">
        <v>0</v>
      </c>
      <c r="BU134" s="5">
        <v>96</v>
      </c>
      <c r="BV134" s="5" t="b">
        <v>0</v>
      </c>
      <c r="BW134" s="5">
        <v>1000</v>
      </c>
      <c r="BX134" s="5">
        <v>0.3</v>
      </c>
      <c r="BY134" s="5" t="b">
        <v>0</v>
      </c>
      <c r="BZ134" s="5" t="s">
        <v>1376</v>
      </c>
      <c r="CA134" s="5" t="s">
        <v>13</v>
      </c>
      <c r="CB134" s="5" t="s">
        <v>1377</v>
      </c>
      <c r="CC134" s="5" t="s">
        <v>160</v>
      </c>
      <c r="CD134" s="5">
        <v>93</v>
      </c>
      <c r="CE134" s="5">
        <v>32</v>
      </c>
      <c r="CF134" s="5" t="b">
        <v>0</v>
      </c>
      <c r="CG134" s="5" t="s">
        <v>161</v>
      </c>
      <c r="CH134" s="5">
        <v>48</v>
      </c>
      <c r="CI134" s="5">
        <v>1</v>
      </c>
      <c r="CJ134" s="5">
        <v>0.25</v>
      </c>
      <c r="CK134" s="5">
        <v>7</v>
      </c>
      <c r="CL134" s="5" t="s">
        <v>1378</v>
      </c>
      <c r="CM134" s="5">
        <v>7</v>
      </c>
      <c r="CN134" s="5" t="s">
        <v>163</v>
      </c>
      <c r="CO134" s="5">
        <v>0</v>
      </c>
      <c r="CP134" s="5" t="s">
        <v>183</v>
      </c>
      <c r="CQ134" s="5" t="s">
        <v>164</v>
      </c>
      <c r="CR134" s="5" t="s">
        <v>1375</v>
      </c>
      <c r="CS134" s="5">
        <v>13</v>
      </c>
      <c r="CT134" s="5" t="b">
        <v>0</v>
      </c>
      <c r="CU134" s="5" t="s">
        <v>165</v>
      </c>
      <c r="CV134" s="5" t="b">
        <v>1</v>
      </c>
      <c r="CW134" s="5" t="b">
        <v>0</v>
      </c>
      <c r="CX134" s="5">
        <v>1</v>
      </c>
      <c r="CY134" s="5">
        <v>2</v>
      </c>
      <c r="CZ134" s="5" t="b">
        <v>0</v>
      </c>
      <c r="DA134" s="5" t="b">
        <v>0</v>
      </c>
      <c r="DB134" s="5" t="b">
        <v>0</v>
      </c>
      <c r="DC134" s="5" t="s">
        <v>166</v>
      </c>
      <c r="DD134" s="5" t="s">
        <v>167</v>
      </c>
      <c r="DE134" s="5" t="s">
        <v>168</v>
      </c>
      <c r="DF134" s="5">
        <v>0.5</v>
      </c>
      <c r="DG134" s="5">
        <v>10</v>
      </c>
      <c r="DH134" s="5">
        <v>0.3</v>
      </c>
      <c r="DI134" s="5">
        <v>1</v>
      </c>
      <c r="DJ134" s="5">
        <v>1</v>
      </c>
      <c r="DK134" s="5" t="s">
        <v>169</v>
      </c>
      <c r="DL134" s="5" t="b">
        <v>0</v>
      </c>
      <c r="DM134" s="5">
        <v>32</v>
      </c>
      <c r="DN134" s="5">
        <v>1</v>
      </c>
      <c r="DO134" s="5" t="s">
        <v>170</v>
      </c>
      <c r="DP134" s="5" t="s">
        <v>1377</v>
      </c>
      <c r="DQ134" s="5" t="s">
        <v>171</v>
      </c>
      <c r="DR134" s="5" t="s">
        <v>172</v>
      </c>
      <c r="DS134" s="7" t="str">
        <f>_xlfn.XLOOKUP(CP134,datasetmap!B:B,datasetmap!A:A)</f>
        <v>SAD</v>
      </c>
      <c r="DT134" s="8">
        <f t="shared" si="2"/>
        <v>5.348649984</v>
      </c>
    </row>
    <row r="135" ht="17.6" spans="1:124">
      <c r="A135" s="5" t="s">
        <v>1379</v>
      </c>
      <c r="B135" s="5">
        <v>32</v>
      </c>
      <c r="C135" s="5" t="s">
        <v>141</v>
      </c>
      <c r="D135" s="5" t="s">
        <v>1380</v>
      </c>
      <c r="E135" s="5" t="s">
        <v>1381</v>
      </c>
      <c r="F135" s="5" t="s">
        <v>1382</v>
      </c>
      <c r="G135" s="6">
        <v>1.77891729585681e+18</v>
      </c>
      <c r="H135" s="5">
        <v>0.555665512122711</v>
      </c>
      <c r="I135" s="5">
        <v>0.555335968379446</v>
      </c>
      <c r="J135" s="5">
        <v>0.637169062</v>
      </c>
      <c r="K135" s="5">
        <v>0.555665512122711</v>
      </c>
      <c r="L135" s="6">
        <v>1.77891729585672e+18</v>
      </c>
      <c r="M135" s="5">
        <v>0.555555555555555</v>
      </c>
      <c r="N135" s="6">
        <v>1.77891729704038e+18</v>
      </c>
      <c r="O135" s="6">
        <v>1.77891725549436e+18</v>
      </c>
      <c r="P135" s="5">
        <v>38.607743088</v>
      </c>
      <c r="Q135" s="5">
        <v>0.25</v>
      </c>
      <c r="R135" s="5">
        <v>6</v>
      </c>
      <c r="S135" s="5" t="s">
        <v>145</v>
      </c>
      <c r="T135" s="5" t="s">
        <v>146</v>
      </c>
      <c r="U135" s="5" t="b">
        <v>0</v>
      </c>
      <c r="V135" s="5">
        <v>25</v>
      </c>
      <c r="W135" s="5">
        <v>0</v>
      </c>
      <c r="X135" s="5">
        <v>10</v>
      </c>
      <c r="Y135" s="5">
        <v>8</v>
      </c>
      <c r="Z135" s="5" t="b">
        <v>0</v>
      </c>
      <c r="AA135" s="5">
        <v>4</v>
      </c>
      <c r="AB135" s="5" t="b">
        <v>0</v>
      </c>
      <c r="AC135" s="5" t="b">
        <v>0</v>
      </c>
      <c r="AD135" s="5" t="s">
        <v>147</v>
      </c>
      <c r="AE135" s="5" t="s">
        <v>1383</v>
      </c>
      <c r="AF135" s="5">
        <v>1</v>
      </c>
      <c r="AG135" s="5" t="b">
        <v>0</v>
      </c>
      <c r="AH135" s="5" t="b">
        <v>0</v>
      </c>
      <c r="AI135" s="5" t="s">
        <v>149</v>
      </c>
      <c r="AJ135" s="5">
        <v>3</v>
      </c>
      <c r="AK135" s="5" t="b">
        <v>0</v>
      </c>
      <c r="AL135" s="5">
        <v>2</v>
      </c>
      <c r="AM135" s="5">
        <v>0</v>
      </c>
      <c r="AN135" s="5">
        <v>0</v>
      </c>
      <c r="AO135" s="5" t="b">
        <v>0</v>
      </c>
      <c r="AP135" s="5">
        <v>0.001</v>
      </c>
      <c r="AQ135" s="5">
        <v>256</v>
      </c>
      <c r="AR135" s="5" t="b">
        <v>1</v>
      </c>
      <c r="AS135" s="5">
        <v>1</v>
      </c>
      <c r="AT135" s="5">
        <v>3</v>
      </c>
      <c r="AU135" s="5">
        <v>0.1</v>
      </c>
      <c r="AV135" s="5">
        <v>0.1</v>
      </c>
      <c r="AW135" s="5" t="b">
        <v>0</v>
      </c>
      <c r="AX135" s="5">
        <v>32</v>
      </c>
      <c r="AY135" s="5">
        <v>42</v>
      </c>
      <c r="AZ135" s="5">
        <v>1</v>
      </c>
      <c r="BA135" s="5">
        <v>16</v>
      </c>
      <c r="BB135" s="5" t="s">
        <v>200</v>
      </c>
      <c r="BC135" s="5" t="s">
        <v>151</v>
      </c>
      <c r="BD135" s="5">
        <v>10</v>
      </c>
      <c r="BE135" s="5" t="b">
        <v>0</v>
      </c>
      <c r="BF135" s="5" t="s">
        <v>152</v>
      </c>
      <c r="BG135" s="5" t="s">
        <v>1384</v>
      </c>
      <c r="BH135" s="5">
        <v>0</v>
      </c>
      <c r="BI135" s="5" t="s">
        <v>154</v>
      </c>
      <c r="BJ135" s="5">
        <v>2</v>
      </c>
      <c r="BK135" s="5"/>
      <c r="BL135" s="5" t="b">
        <v>0</v>
      </c>
      <c r="BM135" s="5">
        <v>0</v>
      </c>
      <c r="BN135" s="5">
        <v>0</v>
      </c>
      <c r="BO135" s="5" t="s">
        <v>155</v>
      </c>
      <c r="BP135" s="5">
        <v>128</v>
      </c>
      <c r="BQ135" s="5" t="s">
        <v>156</v>
      </c>
      <c r="BR135" s="5">
        <v>2</v>
      </c>
      <c r="BS135" s="5" t="s">
        <v>157</v>
      </c>
      <c r="BT135" s="5">
        <v>0</v>
      </c>
      <c r="BU135" s="5">
        <v>96</v>
      </c>
      <c r="BV135" s="5" t="b">
        <v>0</v>
      </c>
      <c r="BW135" s="5">
        <v>1000</v>
      </c>
      <c r="BX135" s="5">
        <v>0.3</v>
      </c>
      <c r="BY135" s="5" t="b">
        <v>0</v>
      </c>
      <c r="BZ135" s="5" t="s">
        <v>1385</v>
      </c>
      <c r="CA135" s="5" t="s">
        <v>13</v>
      </c>
      <c r="CB135" s="5" t="s">
        <v>1386</v>
      </c>
      <c r="CC135" s="5" t="s">
        <v>160</v>
      </c>
      <c r="CD135" s="5">
        <v>1152</v>
      </c>
      <c r="CE135" s="5">
        <v>32</v>
      </c>
      <c r="CF135" s="5" t="b">
        <v>0</v>
      </c>
      <c r="CG135" s="5" t="s">
        <v>161</v>
      </c>
      <c r="CH135" s="5">
        <v>48</v>
      </c>
      <c r="CI135" s="5">
        <v>1</v>
      </c>
      <c r="CJ135" s="5">
        <v>0.25</v>
      </c>
      <c r="CK135" s="5">
        <v>7</v>
      </c>
      <c r="CL135" s="5" t="s">
        <v>1387</v>
      </c>
      <c r="CM135" s="5">
        <v>7</v>
      </c>
      <c r="CN135" s="5" t="s">
        <v>163</v>
      </c>
      <c r="CO135" s="5">
        <v>0</v>
      </c>
      <c r="CP135" s="5" t="s">
        <v>205</v>
      </c>
      <c r="CQ135" s="5" t="s">
        <v>164</v>
      </c>
      <c r="CR135" s="5" t="s">
        <v>1384</v>
      </c>
      <c r="CS135" s="5">
        <v>7</v>
      </c>
      <c r="CT135" s="5" t="b">
        <v>0</v>
      </c>
      <c r="CU135" s="5" t="s">
        <v>165</v>
      </c>
      <c r="CV135" s="5" t="b">
        <v>1</v>
      </c>
      <c r="CW135" s="5" t="b">
        <v>0</v>
      </c>
      <c r="CX135" s="5">
        <v>1</v>
      </c>
      <c r="CY135" s="5">
        <v>2</v>
      </c>
      <c r="CZ135" s="5" t="b">
        <v>0</v>
      </c>
      <c r="DA135" s="5" t="b">
        <v>0</v>
      </c>
      <c r="DB135" s="5" t="b">
        <v>0</v>
      </c>
      <c r="DC135" s="5" t="s">
        <v>166</v>
      </c>
      <c r="DD135" s="5" t="s">
        <v>167</v>
      </c>
      <c r="DE135" s="5" t="s">
        <v>168</v>
      </c>
      <c r="DF135" s="5">
        <v>0.5</v>
      </c>
      <c r="DG135" s="5">
        <v>10</v>
      </c>
      <c r="DH135" s="5">
        <v>0.3</v>
      </c>
      <c r="DI135" s="5">
        <v>1</v>
      </c>
      <c r="DJ135" s="5">
        <v>1</v>
      </c>
      <c r="DK135" s="5" t="s">
        <v>169</v>
      </c>
      <c r="DL135" s="5" t="b">
        <v>0</v>
      </c>
      <c r="DM135" s="5">
        <v>32</v>
      </c>
      <c r="DN135" s="5">
        <v>1</v>
      </c>
      <c r="DO135" s="5" t="s">
        <v>170</v>
      </c>
      <c r="DP135" s="5" t="s">
        <v>1386</v>
      </c>
      <c r="DQ135" s="5" t="s">
        <v>171</v>
      </c>
      <c r="DR135" s="5" t="s">
        <v>172</v>
      </c>
      <c r="DS135" s="7" t="str">
        <f>_xlfn.XLOOKUP(CP135,datasetmap!B:B,datasetmap!A:A)</f>
        <v>SRS2</v>
      </c>
      <c r="DT135" s="8">
        <f t="shared" si="2"/>
        <v>1.18356992</v>
      </c>
    </row>
    <row r="136" ht="17.6" spans="1:124">
      <c r="A136" s="5" t="s">
        <v>1388</v>
      </c>
      <c r="B136" s="5">
        <v>32</v>
      </c>
      <c r="C136" s="5" t="s">
        <v>141</v>
      </c>
      <c r="D136" s="5" t="s">
        <v>1389</v>
      </c>
      <c r="E136" s="5" t="s">
        <v>1390</v>
      </c>
      <c r="F136" s="5" t="s">
        <v>1391</v>
      </c>
      <c r="G136" s="6">
        <v>1.77891723559733e+18</v>
      </c>
      <c r="H136" s="5">
        <v>0.898339928652827</v>
      </c>
      <c r="I136" s="5">
        <v>0.893901286702937</v>
      </c>
      <c r="J136" s="5">
        <v>0.399344603</v>
      </c>
      <c r="K136" s="5">
        <v>0.898339928652827</v>
      </c>
      <c r="L136" s="6">
        <v>1.77891723559725e+18</v>
      </c>
      <c r="M136" s="5">
        <v>0.89419795221843</v>
      </c>
      <c r="N136" s="6">
        <v>1.7789172366937e+18</v>
      </c>
      <c r="O136" s="6">
        <v>1.77891718261867e+18</v>
      </c>
      <c r="P136" s="5">
        <v>50.922547112</v>
      </c>
      <c r="Q136" s="5">
        <v>0.25</v>
      </c>
      <c r="R136" s="5">
        <v>6</v>
      </c>
      <c r="S136" s="5" t="s">
        <v>145</v>
      </c>
      <c r="T136" s="5" t="s">
        <v>146</v>
      </c>
      <c r="U136" s="5" t="b">
        <v>0</v>
      </c>
      <c r="V136" s="5">
        <v>25</v>
      </c>
      <c r="W136" s="5">
        <v>0</v>
      </c>
      <c r="X136" s="5">
        <v>10</v>
      </c>
      <c r="Y136" s="5">
        <v>8</v>
      </c>
      <c r="Z136" s="5" t="b">
        <v>0</v>
      </c>
      <c r="AA136" s="5">
        <v>4</v>
      </c>
      <c r="AB136" s="5" t="b">
        <v>0</v>
      </c>
      <c r="AC136" s="5" t="b">
        <v>0</v>
      </c>
      <c r="AD136" s="5" t="s">
        <v>147</v>
      </c>
      <c r="AE136" s="5" t="s">
        <v>1392</v>
      </c>
      <c r="AF136" s="5">
        <v>1</v>
      </c>
      <c r="AG136" s="5" t="b">
        <v>0</v>
      </c>
      <c r="AH136" s="5" t="b">
        <v>0</v>
      </c>
      <c r="AI136" s="5" t="s">
        <v>149</v>
      </c>
      <c r="AJ136" s="5">
        <v>3</v>
      </c>
      <c r="AK136" s="5" t="b">
        <v>0</v>
      </c>
      <c r="AL136" s="5">
        <v>2</v>
      </c>
      <c r="AM136" s="5">
        <v>0</v>
      </c>
      <c r="AN136" s="5">
        <v>0</v>
      </c>
      <c r="AO136" s="5" t="b">
        <v>0</v>
      </c>
      <c r="AP136" s="5">
        <v>0.001</v>
      </c>
      <c r="AQ136" s="5">
        <v>256</v>
      </c>
      <c r="AR136" s="5" t="b">
        <v>1</v>
      </c>
      <c r="AS136" s="5">
        <v>1</v>
      </c>
      <c r="AT136" s="5">
        <v>3</v>
      </c>
      <c r="AU136" s="5">
        <v>0.1</v>
      </c>
      <c r="AV136" s="5">
        <v>0.1</v>
      </c>
      <c r="AW136" s="5" t="b">
        <v>0</v>
      </c>
      <c r="AX136" s="5">
        <v>32</v>
      </c>
      <c r="AY136" s="5">
        <v>42</v>
      </c>
      <c r="AZ136" s="5">
        <v>1</v>
      </c>
      <c r="BA136" s="5">
        <v>16</v>
      </c>
      <c r="BB136" s="5" t="s">
        <v>211</v>
      </c>
      <c r="BC136" s="5" t="s">
        <v>151</v>
      </c>
      <c r="BD136" s="5">
        <v>10</v>
      </c>
      <c r="BE136" s="5" t="b">
        <v>0</v>
      </c>
      <c r="BF136" s="5" t="s">
        <v>152</v>
      </c>
      <c r="BG136" s="5" t="s">
        <v>1393</v>
      </c>
      <c r="BH136" s="5">
        <v>0</v>
      </c>
      <c r="BI136" s="5" t="s">
        <v>154</v>
      </c>
      <c r="BJ136" s="5">
        <v>2</v>
      </c>
      <c r="BK136" s="5"/>
      <c r="BL136" s="5" t="b">
        <v>0</v>
      </c>
      <c r="BM136" s="5">
        <v>0</v>
      </c>
      <c r="BN136" s="5">
        <v>0</v>
      </c>
      <c r="BO136" s="5" t="s">
        <v>155</v>
      </c>
      <c r="BP136" s="5">
        <v>128</v>
      </c>
      <c r="BQ136" s="5" t="s">
        <v>156</v>
      </c>
      <c r="BR136" s="5">
        <v>2</v>
      </c>
      <c r="BS136" s="5" t="s">
        <v>157</v>
      </c>
      <c r="BT136" s="5">
        <v>0</v>
      </c>
      <c r="BU136" s="5">
        <v>96</v>
      </c>
      <c r="BV136" s="5" t="b">
        <v>0</v>
      </c>
      <c r="BW136" s="5">
        <v>1000</v>
      </c>
      <c r="BX136" s="5">
        <v>0.3</v>
      </c>
      <c r="BY136" s="5" t="b">
        <v>0</v>
      </c>
      <c r="BZ136" s="5" t="s">
        <v>1394</v>
      </c>
      <c r="CA136" s="5" t="s">
        <v>13</v>
      </c>
      <c r="CB136" s="5" t="s">
        <v>1395</v>
      </c>
      <c r="CC136" s="5" t="s">
        <v>160</v>
      </c>
      <c r="CD136" s="5">
        <v>896</v>
      </c>
      <c r="CE136" s="5">
        <v>32</v>
      </c>
      <c r="CF136" s="5" t="b">
        <v>0</v>
      </c>
      <c r="CG136" s="5" t="s">
        <v>161</v>
      </c>
      <c r="CH136" s="5">
        <v>48</v>
      </c>
      <c r="CI136" s="5">
        <v>1</v>
      </c>
      <c r="CJ136" s="5">
        <v>0.25</v>
      </c>
      <c r="CK136" s="5">
        <v>7</v>
      </c>
      <c r="CL136" s="5" t="s">
        <v>1396</v>
      </c>
      <c r="CM136" s="5">
        <v>7</v>
      </c>
      <c r="CN136" s="5" t="s">
        <v>163</v>
      </c>
      <c r="CO136" s="5">
        <v>0</v>
      </c>
      <c r="CP136" s="5" t="s">
        <v>216</v>
      </c>
      <c r="CQ136" s="5" t="s">
        <v>164</v>
      </c>
      <c r="CR136" s="5" t="s">
        <v>1393</v>
      </c>
      <c r="CS136" s="5">
        <v>6</v>
      </c>
      <c r="CT136" s="5" t="b">
        <v>0</v>
      </c>
      <c r="CU136" s="5" t="s">
        <v>165</v>
      </c>
      <c r="CV136" s="5" t="b">
        <v>1</v>
      </c>
      <c r="CW136" s="5" t="b">
        <v>0</v>
      </c>
      <c r="CX136" s="5">
        <v>1</v>
      </c>
      <c r="CY136" s="5">
        <v>2</v>
      </c>
      <c r="CZ136" s="5" t="b">
        <v>0</v>
      </c>
      <c r="DA136" s="5" t="b">
        <v>0</v>
      </c>
      <c r="DB136" s="5" t="b">
        <v>0</v>
      </c>
      <c r="DC136" s="5" t="s">
        <v>166</v>
      </c>
      <c r="DD136" s="5" t="s">
        <v>167</v>
      </c>
      <c r="DE136" s="5" t="s">
        <v>168</v>
      </c>
      <c r="DF136" s="5">
        <v>0.5</v>
      </c>
      <c r="DG136" s="5">
        <v>10</v>
      </c>
      <c r="DH136" s="5">
        <v>0.3</v>
      </c>
      <c r="DI136" s="5">
        <v>1</v>
      </c>
      <c r="DJ136" s="5">
        <v>1</v>
      </c>
      <c r="DK136" s="5" t="s">
        <v>169</v>
      </c>
      <c r="DL136" s="5" t="b">
        <v>0</v>
      </c>
      <c r="DM136" s="5">
        <v>32</v>
      </c>
      <c r="DN136" s="5">
        <v>1</v>
      </c>
      <c r="DO136" s="5" t="s">
        <v>170</v>
      </c>
      <c r="DP136" s="5" t="s">
        <v>1395</v>
      </c>
      <c r="DQ136" s="5" t="s">
        <v>171</v>
      </c>
      <c r="DR136" s="5" t="s">
        <v>172</v>
      </c>
      <c r="DS136" s="7" t="str">
        <f>_xlfn.XLOOKUP(CP136,datasetmap!B:B,datasetmap!A:A)</f>
        <v>SRS1</v>
      </c>
      <c r="DT136" s="8">
        <f t="shared" si="2"/>
        <v>1.096370176</v>
      </c>
    </row>
    <row r="137" ht="17.6" spans="1:124">
      <c r="A137" s="5" t="s">
        <v>1397</v>
      </c>
      <c r="B137" s="5">
        <v>32</v>
      </c>
      <c r="C137" s="5" t="s">
        <v>141</v>
      </c>
      <c r="D137" s="5" t="s">
        <v>1398</v>
      </c>
      <c r="E137" s="5" t="s">
        <v>1399</v>
      </c>
      <c r="F137" s="5" t="s">
        <v>1400</v>
      </c>
      <c r="G137" s="6">
        <v>1.77891716343345e+18</v>
      </c>
      <c r="H137" s="5">
        <v>0.974117918005113</v>
      </c>
      <c r="I137" s="5">
        <v>0.973086176507471</v>
      </c>
      <c r="J137" s="5">
        <v>0.464048427</v>
      </c>
      <c r="K137" s="5">
        <v>0.974117918005113</v>
      </c>
      <c r="L137" s="6">
        <v>1.77891716343336e+18</v>
      </c>
      <c r="M137" s="5">
        <v>0.972972972972973</v>
      </c>
      <c r="N137" s="6">
        <v>1.7789171647399e+18</v>
      </c>
      <c r="O137" s="6">
        <v>1.77891708792914e+18</v>
      </c>
      <c r="P137" s="5">
        <v>73.713473788</v>
      </c>
      <c r="Q137" s="5">
        <v>0.25</v>
      </c>
      <c r="R137" s="5">
        <v>6</v>
      </c>
      <c r="S137" s="5" t="s">
        <v>145</v>
      </c>
      <c r="T137" s="5" t="s">
        <v>146</v>
      </c>
      <c r="U137" s="5" t="b">
        <v>0</v>
      </c>
      <c r="V137" s="5">
        <v>25</v>
      </c>
      <c r="W137" s="5">
        <v>0</v>
      </c>
      <c r="X137" s="5">
        <v>10</v>
      </c>
      <c r="Y137" s="5">
        <v>8</v>
      </c>
      <c r="Z137" s="5" t="b">
        <v>0</v>
      </c>
      <c r="AA137" s="5">
        <v>4</v>
      </c>
      <c r="AB137" s="5" t="b">
        <v>0</v>
      </c>
      <c r="AC137" s="5" t="b">
        <v>0</v>
      </c>
      <c r="AD137" s="5" t="s">
        <v>147</v>
      </c>
      <c r="AE137" s="5" t="s">
        <v>1401</v>
      </c>
      <c r="AF137" s="5">
        <v>1</v>
      </c>
      <c r="AG137" s="5" t="b">
        <v>0</v>
      </c>
      <c r="AH137" s="5" t="b">
        <v>0</v>
      </c>
      <c r="AI137" s="5" t="s">
        <v>149</v>
      </c>
      <c r="AJ137" s="5">
        <v>3</v>
      </c>
      <c r="AK137" s="5" t="b">
        <v>0</v>
      </c>
      <c r="AL137" s="5">
        <v>9</v>
      </c>
      <c r="AM137" s="5">
        <v>0</v>
      </c>
      <c r="AN137" s="5">
        <v>0</v>
      </c>
      <c r="AO137" s="5" t="b">
        <v>0</v>
      </c>
      <c r="AP137" s="5">
        <v>0.001</v>
      </c>
      <c r="AQ137" s="5">
        <v>256</v>
      </c>
      <c r="AR137" s="5" t="b">
        <v>1</v>
      </c>
      <c r="AS137" s="5">
        <v>1</v>
      </c>
      <c r="AT137" s="5">
        <v>3</v>
      </c>
      <c r="AU137" s="5">
        <v>0.1</v>
      </c>
      <c r="AV137" s="5">
        <v>0.1</v>
      </c>
      <c r="AW137" s="5" t="b">
        <v>0</v>
      </c>
      <c r="AX137" s="5">
        <v>32</v>
      </c>
      <c r="AY137" s="5">
        <v>42</v>
      </c>
      <c r="AZ137" s="5">
        <v>1</v>
      </c>
      <c r="BA137" s="5">
        <v>16</v>
      </c>
      <c r="BB137" s="5" t="s">
        <v>222</v>
      </c>
      <c r="BC137" s="5" t="s">
        <v>151</v>
      </c>
      <c r="BD137" s="5">
        <v>10</v>
      </c>
      <c r="BE137" s="5" t="b">
        <v>0</v>
      </c>
      <c r="BF137" s="5" t="s">
        <v>152</v>
      </c>
      <c r="BG137" s="5" t="s">
        <v>1402</v>
      </c>
      <c r="BH137" s="5">
        <v>0</v>
      </c>
      <c r="BI137" s="5" t="s">
        <v>154</v>
      </c>
      <c r="BJ137" s="5">
        <v>2</v>
      </c>
      <c r="BK137" s="5"/>
      <c r="BL137" s="5" t="b">
        <v>0</v>
      </c>
      <c r="BM137" s="5">
        <v>0</v>
      </c>
      <c r="BN137" s="5">
        <v>0</v>
      </c>
      <c r="BO137" s="5" t="s">
        <v>155</v>
      </c>
      <c r="BP137" s="5">
        <v>128</v>
      </c>
      <c r="BQ137" s="5" t="s">
        <v>156</v>
      </c>
      <c r="BR137" s="5">
        <v>2</v>
      </c>
      <c r="BS137" s="5" t="s">
        <v>157</v>
      </c>
      <c r="BT137" s="5">
        <v>0</v>
      </c>
      <c r="BU137" s="5">
        <v>96</v>
      </c>
      <c r="BV137" s="5" t="b">
        <v>0</v>
      </c>
      <c r="BW137" s="5">
        <v>1000</v>
      </c>
      <c r="BX137" s="5">
        <v>0.3</v>
      </c>
      <c r="BY137" s="5" t="b">
        <v>0</v>
      </c>
      <c r="BZ137" s="5" t="s">
        <v>1403</v>
      </c>
      <c r="CA137" s="5" t="s">
        <v>13</v>
      </c>
      <c r="CB137" s="5" t="s">
        <v>1404</v>
      </c>
      <c r="CC137" s="5" t="s">
        <v>160</v>
      </c>
      <c r="CD137" s="5">
        <v>29</v>
      </c>
      <c r="CE137" s="5">
        <v>32</v>
      </c>
      <c r="CF137" s="5" t="b">
        <v>0</v>
      </c>
      <c r="CG137" s="5" t="s">
        <v>161</v>
      </c>
      <c r="CH137" s="5">
        <v>48</v>
      </c>
      <c r="CI137" s="5">
        <v>1</v>
      </c>
      <c r="CJ137" s="5">
        <v>0.25</v>
      </c>
      <c r="CK137" s="5">
        <v>7</v>
      </c>
      <c r="CL137" s="5" t="s">
        <v>1405</v>
      </c>
      <c r="CM137" s="5">
        <v>7</v>
      </c>
      <c r="CN137" s="5" t="s">
        <v>163</v>
      </c>
      <c r="CO137" s="5">
        <v>0</v>
      </c>
      <c r="CP137" s="5" t="s">
        <v>227</v>
      </c>
      <c r="CQ137" s="5" t="s">
        <v>164</v>
      </c>
      <c r="CR137" s="5" t="s">
        <v>1402</v>
      </c>
      <c r="CS137" s="5">
        <v>12</v>
      </c>
      <c r="CT137" s="5" t="b">
        <v>0</v>
      </c>
      <c r="CU137" s="5" t="s">
        <v>165</v>
      </c>
      <c r="CV137" s="5" t="b">
        <v>1</v>
      </c>
      <c r="CW137" s="5" t="b">
        <v>0</v>
      </c>
      <c r="CX137" s="5">
        <v>1</v>
      </c>
      <c r="CY137" s="5">
        <v>2</v>
      </c>
      <c r="CZ137" s="5" t="b">
        <v>0</v>
      </c>
      <c r="DA137" s="5" t="b">
        <v>0</v>
      </c>
      <c r="DB137" s="5" t="b">
        <v>0</v>
      </c>
      <c r="DC137" s="5" t="s">
        <v>166</v>
      </c>
      <c r="DD137" s="5" t="s">
        <v>167</v>
      </c>
      <c r="DE137" s="5" t="s">
        <v>168</v>
      </c>
      <c r="DF137" s="5">
        <v>0.5</v>
      </c>
      <c r="DG137" s="5">
        <v>10</v>
      </c>
      <c r="DH137" s="5">
        <v>0.3</v>
      </c>
      <c r="DI137" s="5">
        <v>1</v>
      </c>
      <c r="DJ137" s="5">
        <v>1</v>
      </c>
      <c r="DK137" s="5" t="s">
        <v>169</v>
      </c>
      <c r="DL137" s="5" t="b">
        <v>0</v>
      </c>
      <c r="DM137" s="5">
        <v>32</v>
      </c>
      <c r="DN137" s="5">
        <v>1</v>
      </c>
      <c r="DO137" s="5" t="s">
        <v>170</v>
      </c>
      <c r="DP137" s="5" t="s">
        <v>1404</v>
      </c>
      <c r="DQ137" s="5" t="s">
        <v>171</v>
      </c>
      <c r="DR137" s="5" t="s">
        <v>172</v>
      </c>
      <c r="DS137" s="7" t="str">
        <f>_xlfn.XLOOKUP(CP137,datasetmap!B:B,datasetmap!A:A)</f>
        <v>JV</v>
      </c>
      <c r="DT137" s="8">
        <f t="shared" si="2"/>
        <v>1.30644992</v>
      </c>
    </row>
    <row r="138" ht="17.6" spans="1:124">
      <c r="A138" s="5" t="s">
        <v>1406</v>
      </c>
      <c r="B138" s="5">
        <v>32</v>
      </c>
      <c r="C138" s="5" t="s">
        <v>141</v>
      </c>
      <c r="D138" s="5" t="s">
        <v>1407</v>
      </c>
      <c r="E138" s="5" t="s">
        <v>1408</v>
      </c>
      <c r="F138" s="5" t="s">
        <v>1409</v>
      </c>
      <c r="G138" s="6">
        <v>1.77891706877288e+18</v>
      </c>
      <c r="H138" s="5">
        <v>0.76951394897458</v>
      </c>
      <c r="I138" s="5">
        <v>0.77010321940173</v>
      </c>
      <c r="J138" s="5">
        <v>0.405550665</v>
      </c>
      <c r="K138" s="5">
        <v>0.76951394897458</v>
      </c>
      <c r="L138" s="6">
        <v>1.77891706877281e+18</v>
      </c>
      <c r="M138" s="5">
        <v>0.770731707317073</v>
      </c>
      <c r="N138" s="6">
        <v>1.77891707197344e+18</v>
      </c>
      <c r="O138" s="6">
        <v>1.77891702514388e+18</v>
      </c>
      <c r="P138" s="5">
        <v>35.270069539</v>
      </c>
      <c r="Q138" s="5">
        <v>0.25</v>
      </c>
      <c r="R138" s="5">
        <v>6</v>
      </c>
      <c r="S138" s="5" t="s">
        <v>145</v>
      </c>
      <c r="T138" s="5" t="s">
        <v>146</v>
      </c>
      <c r="U138" s="5" t="b">
        <v>0</v>
      </c>
      <c r="V138" s="5">
        <v>25</v>
      </c>
      <c r="W138" s="5">
        <v>0</v>
      </c>
      <c r="X138" s="5">
        <v>10</v>
      </c>
      <c r="Y138" s="5">
        <v>8</v>
      </c>
      <c r="Z138" s="5" t="b">
        <v>0</v>
      </c>
      <c r="AA138" s="5">
        <v>4</v>
      </c>
      <c r="AB138" s="5" t="b">
        <v>0</v>
      </c>
      <c r="AC138" s="5" t="b">
        <v>0</v>
      </c>
      <c r="AD138" s="5" t="s">
        <v>147</v>
      </c>
      <c r="AE138" s="5" t="s">
        <v>1410</v>
      </c>
      <c r="AF138" s="5">
        <v>1</v>
      </c>
      <c r="AG138" s="5" t="b">
        <v>0</v>
      </c>
      <c r="AH138" s="5" t="b">
        <v>0</v>
      </c>
      <c r="AI138" s="5" t="s">
        <v>149</v>
      </c>
      <c r="AJ138" s="5">
        <v>3</v>
      </c>
      <c r="AK138" s="5" t="b">
        <v>0</v>
      </c>
      <c r="AL138" s="5">
        <v>2</v>
      </c>
      <c r="AM138" s="5">
        <v>0</v>
      </c>
      <c r="AN138" s="5">
        <v>0</v>
      </c>
      <c r="AO138" s="5" t="b">
        <v>0</v>
      </c>
      <c r="AP138" s="5">
        <v>0.001</v>
      </c>
      <c r="AQ138" s="5">
        <v>256</v>
      </c>
      <c r="AR138" s="5" t="b">
        <v>1</v>
      </c>
      <c r="AS138" s="5">
        <v>1</v>
      </c>
      <c r="AT138" s="5">
        <v>3</v>
      </c>
      <c r="AU138" s="5">
        <v>0.1</v>
      </c>
      <c r="AV138" s="5">
        <v>0.1</v>
      </c>
      <c r="AW138" s="5" t="b">
        <v>0</v>
      </c>
      <c r="AX138" s="5">
        <v>32</v>
      </c>
      <c r="AY138" s="5">
        <v>42</v>
      </c>
      <c r="AZ138" s="5">
        <v>1</v>
      </c>
      <c r="BA138" s="5">
        <v>16</v>
      </c>
      <c r="BB138" s="5" t="s">
        <v>233</v>
      </c>
      <c r="BC138" s="5" t="s">
        <v>151</v>
      </c>
      <c r="BD138" s="5">
        <v>10</v>
      </c>
      <c r="BE138" s="5" t="b">
        <v>0</v>
      </c>
      <c r="BF138" s="5" t="s">
        <v>152</v>
      </c>
      <c r="BG138" s="5" t="s">
        <v>1411</v>
      </c>
      <c r="BH138" s="5">
        <v>0</v>
      </c>
      <c r="BI138" s="5" t="s">
        <v>154</v>
      </c>
      <c r="BJ138" s="5">
        <v>2</v>
      </c>
      <c r="BK138" s="5"/>
      <c r="BL138" s="5" t="b">
        <v>0</v>
      </c>
      <c r="BM138" s="5">
        <v>0</v>
      </c>
      <c r="BN138" s="5">
        <v>0</v>
      </c>
      <c r="BO138" s="5" t="s">
        <v>155</v>
      </c>
      <c r="BP138" s="5">
        <v>128</v>
      </c>
      <c r="BQ138" s="5" t="s">
        <v>156</v>
      </c>
      <c r="BR138" s="5">
        <v>2</v>
      </c>
      <c r="BS138" s="5" t="s">
        <v>157</v>
      </c>
      <c r="BT138" s="5">
        <v>0</v>
      </c>
      <c r="BU138" s="5">
        <v>96</v>
      </c>
      <c r="BV138" s="5" t="b">
        <v>0</v>
      </c>
      <c r="BW138" s="5">
        <v>1000</v>
      </c>
      <c r="BX138" s="5">
        <v>0.3</v>
      </c>
      <c r="BY138" s="5" t="b">
        <v>0</v>
      </c>
      <c r="BZ138" s="5" t="s">
        <v>1412</v>
      </c>
      <c r="CA138" s="5" t="s">
        <v>13</v>
      </c>
      <c r="CB138" s="5" t="s">
        <v>1413</v>
      </c>
      <c r="CC138" s="5" t="s">
        <v>160</v>
      </c>
      <c r="CD138" s="5">
        <v>405</v>
      </c>
      <c r="CE138" s="5">
        <v>32</v>
      </c>
      <c r="CF138" s="5" t="b">
        <v>0</v>
      </c>
      <c r="CG138" s="5" t="s">
        <v>161</v>
      </c>
      <c r="CH138" s="5">
        <v>48</v>
      </c>
      <c r="CI138" s="5">
        <v>1</v>
      </c>
      <c r="CJ138" s="5">
        <v>0.25</v>
      </c>
      <c r="CK138" s="5">
        <v>7</v>
      </c>
      <c r="CL138" s="5" t="s">
        <v>1414</v>
      </c>
      <c r="CM138" s="5">
        <v>7</v>
      </c>
      <c r="CN138" s="5" t="s">
        <v>163</v>
      </c>
      <c r="CO138" s="5">
        <v>0</v>
      </c>
      <c r="CP138" s="5" t="s">
        <v>238</v>
      </c>
      <c r="CQ138" s="5" t="s">
        <v>164</v>
      </c>
      <c r="CR138" s="5" t="s">
        <v>1411</v>
      </c>
      <c r="CS138" s="5">
        <v>61</v>
      </c>
      <c r="CT138" s="5" t="b">
        <v>0</v>
      </c>
      <c r="CU138" s="5" t="s">
        <v>165</v>
      </c>
      <c r="CV138" s="5" t="b">
        <v>1</v>
      </c>
      <c r="CW138" s="5" t="b">
        <v>0</v>
      </c>
      <c r="CX138" s="5">
        <v>1</v>
      </c>
      <c r="CY138" s="5">
        <v>2</v>
      </c>
      <c r="CZ138" s="5" t="b">
        <v>0</v>
      </c>
      <c r="DA138" s="5" t="b">
        <v>0</v>
      </c>
      <c r="DB138" s="5" t="b">
        <v>0</v>
      </c>
      <c r="DC138" s="5" t="s">
        <v>166</v>
      </c>
      <c r="DD138" s="5" t="s">
        <v>167</v>
      </c>
      <c r="DE138" s="5" t="s">
        <v>168</v>
      </c>
      <c r="DF138" s="5">
        <v>0.5</v>
      </c>
      <c r="DG138" s="5">
        <v>10</v>
      </c>
      <c r="DH138" s="5">
        <v>0.3</v>
      </c>
      <c r="DI138" s="5">
        <v>1</v>
      </c>
      <c r="DJ138" s="5">
        <v>1</v>
      </c>
      <c r="DK138" s="5" t="s">
        <v>169</v>
      </c>
      <c r="DL138" s="5" t="b">
        <v>0</v>
      </c>
      <c r="DM138" s="5">
        <v>32</v>
      </c>
      <c r="DN138" s="5">
        <v>1</v>
      </c>
      <c r="DO138" s="5" t="s">
        <v>170</v>
      </c>
      <c r="DP138" s="5" t="s">
        <v>1413</v>
      </c>
      <c r="DQ138" s="5" t="s">
        <v>171</v>
      </c>
      <c r="DR138" s="5" t="s">
        <v>172</v>
      </c>
      <c r="DS138" s="7" t="str">
        <f>_xlfn.XLOOKUP(CP138,datasetmap!B:B,datasetmap!A:A)</f>
        <v>HB</v>
      </c>
      <c r="DT138" s="8">
        <f t="shared" si="2"/>
        <v>3.200560128</v>
      </c>
    </row>
    <row r="139" ht="17.6" spans="1:124">
      <c r="A139" s="5" t="s">
        <v>1415</v>
      </c>
      <c r="B139" s="5">
        <v>32</v>
      </c>
      <c r="C139" s="5" t="s">
        <v>141</v>
      </c>
      <c r="D139" s="5" t="s">
        <v>1416</v>
      </c>
      <c r="E139" s="5" t="s">
        <v>1417</v>
      </c>
      <c r="F139" s="5" t="s">
        <v>1418</v>
      </c>
      <c r="G139" s="6">
        <v>1.77891699425288e+18</v>
      </c>
      <c r="H139" s="5">
        <v>0.529651931437631</v>
      </c>
      <c r="I139" s="5">
        <v>0.48722982105066</v>
      </c>
      <c r="J139" s="5">
        <v>0.460749636</v>
      </c>
      <c r="K139" s="5">
        <v>0.529651931437631</v>
      </c>
      <c r="L139" s="6">
        <v>1.77891699425281e+18</v>
      </c>
      <c r="M139" s="5">
        <v>0.509411764705882</v>
      </c>
      <c r="N139" s="6">
        <v>1.77891699556581e+18</v>
      </c>
      <c r="O139" s="6">
        <v>1.77891689259887e+18</v>
      </c>
      <c r="P139" s="5">
        <v>100.067210116</v>
      </c>
      <c r="Q139" s="5">
        <v>0.25</v>
      </c>
      <c r="R139" s="5">
        <v>6</v>
      </c>
      <c r="S139" s="5" t="s">
        <v>145</v>
      </c>
      <c r="T139" s="5" t="s">
        <v>146</v>
      </c>
      <c r="U139" s="5" t="b">
        <v>0</v>
      </c>
      <c r="V139" s="5">
        <v>25</v>
      </c>
      <c r="W139" s="5">
        <v>0</v>
      </c>
      <c r="X139" s="5">
        <v>10</v>
      </c>
      <c r="Y139" s="5">
        <v>8</v>
      </c>
      <c r="Z139" s="5" t="b">
        <v>0</v>
      </c>
      <c r="AA139" s="5">
        <v>4</v>
      </c>
      <c r="AB139" s="5" t="b">
        <v>0</v>
      </c>
      <c r="AC139" s="5" t="b">
        <v>0</v>
      </c>
      <c r="AD139" s="5" t="s">
        <v>147</v>
      </c>
      <c r="AE139" s="5" t="s">
        <v>1419</v>
      </c>
      <c r="AF139" s="5">
        <v>1</v>
      </c>
      <c r="AG139" s="5" t="b">
        <v>0</v>
      </c>
      <c r="AH139" s="5" t="b">
        <v>0</v>
      </c>
      <c r="AI139" s="5" t="s">
        <v>149</v>
      </c>
      <c r="AJ139" s="5">
        <v>3</v>
      </c>
      <c r="AK139" s="5" t="b">
        <v>0</v>
      </c>
      <c r="AL139" s="5">
        <v>26</v>
      </c>
      <c r="AM139" s="5">
        <v>0</v>
      </c>
      <c r="AN139" s="5">
        <v>0</v>
      </c>
      <c r="AO139" s="5" t="b">
        <v>0</v>
      </c>
      <c r="AP139" s="5">
        <v>0.001</v>
      </c>
      <c r="AQ139" s="5">
        <v>256</v>
      </c>
      <c r="AR139" s="5" t="b">
        <v>1</v>
      </c>
      <c r="AS139" s="5">
        <v>1</v>
      </c>
      <c r="AT139" s="5">
        <v>3</v>
      </c>
      <c r="AU139" s="5">
        <v>0.1</v>
      </c>
      <c r="AV139" s="5">
        <v>0.1</v>
      </c>
      <c r="AW139" s="5" t="b">
        <v>0</v>
      </c>
      <c r="AX139" s="5">
        <v>32</v>
      </c>
      <c r="AY139" s="5">
        <v>42</v>
      </c>
      <c r="AZ139" s="5">
        <v>1</v>
      </c>
      <c r="BA139" s="5">
        <v>16</v>
      </c>
      <c r="BB139" s="5" t="s">
        <v>244</v>
      </c>
      <c r="BC139" s="5" t="s">
        <v>151</v>
      </c>
      <c r="BD139" s="5">
        <v>10</v>
      </c>
      <c r="BE139" s="5" t="b">
        <v>0</v>
      </c>
      <c r="BF139" s="5" t="s">
        <v>152</v>
      </c>
      <c r="BG139" s="5" t="s">
        <v>1420</v>
      </c>
      <c r="BH139" s="5">
        <v>0</v>
      </c>
      <c r="BI139" s="5" t="s">
        <v>154</v>
      </c>
      <c r="BJ139" s="5">
        <v>2</v>
      </c>
      <c r="BK139" s="5"/>
      <c r="BL139" s="5" t="b">
        <v>0</v>
      </c>
      <c r="BM139" s="5">
        <v>0</v>
      </c>
      <c r="BN139" s="5">
        <v>0</v>
      </c>
      <c r="BO139" s="5" t="s">
        <v>155</v>
      </c>
      <c r="BP139" s="5">
        <v>128</v>
      </c>
      <c r="BQ139" s="5" t="s">
        <v>156</v>
      </c>
      <c r="BR139" s="5">
        <v>2</v>
      </c>
      <c r="BS139" s="5" t="s">
        <v>157</v>
      </c>
      <c r="BT139" s="5">
        <v>0</v>
      </c>
      <c r="BU139" s="5">
        <v>96</v>
      </c>
      <c r="BV139" s="5" t="b">
        <v>0</v>
      </c>
      <c r="BW139" s="5">
        <v>1000</v>
      </c>
      <c r="BX139" s="5">
        <v>0.3</v>
      </c>
      <c r="BY139" s="5" t="b">
        <v>0</v>
      </c>
      <c r="BZ139" s="5" t="s">
        <v>1421</v>
      </c>
      <c r="CA139" s="5" t="s">
        <v>13</v>
      </c>
      <c r="CB139" s="5" t="s">
        <v>1422</v>
      </c>
      <c r="CC139" s="5" t="s">
        <v>160</v>
      </c>
      <c r="CD139" s="5">
        <v>152</v>
      </c>
      <c r="CE139" s="5">
        <v>32</v>
      </c>
      <c r="CF139" s="5" t="b">
        <v>0</v>
      </c>
      <c r="CG139" s="5" t="s">
        <v>161</v>
      </c>
      <c r="CH139" s="5">
        <v>48</v>
      </c>
      <c r="CI139" s="5">
        <v>1</v>
      </c>
      <c r="CJ139" s="5">
        <v>0.25</v>
      </c>
      <c r="CK139" s="5">
        <v>7</v>
      </c>
      <c r="CL139" s="5" t="s">
        <v>1423</v>
      </c>
      <c r="CM139" s="5">
        <v>7</v>
      </c>
      <c r="CN139" s="5" t="s">
        <v>163</v>
      </c>
      <c r="CO139" s="5">
        <v>0</v>
      </c>
      <c r="CP139" s="5" t="s">
        <v>249</v>
      </c>
      <c r="CQ139" s="5" t="s">
        <v>164</v>
      </c>
      <c r="CR139" s="5" t="s">
        <v>1420</v>
      </c>
      <c r="CS139" s="5">
        <v>3</v>
      </c>
      <c r="CT139" s="5" t="b">
        <v>0</v>
      </c>
      <c r="CU139" s="5" t="s">
        <v>165</v>
      </c>
      <c r="CV139" s="5" t="b">
        <v>1</v>
      </c>
      <c r="CW139" s="5" t="b">
        <v>0</v>
      </c>
      <c r="CX139" s="5">
        <v>1</v>
      </c>
      <c r="CY139" s="5">
        <v>2</v>
      </c>
      <c r="CZ139" s="5" t="b">
        <v>0</v>
      </c>
      <c r="DA139" s="5" t="b">
        <v>0</v>
      </c>
      <c r="DB139" s="5" t="b">
        <v>0</v>
      </c>
      <c r="DC139" s="5" t="s">
        <v>166</v>
      </c>
      <c r="DD139" s="5" t="s">
        <v>167</v>
      </c>
      <c r="DE139" s="5" t="s">
        <v>168</v>
      </c>
      <c r="DF139" s="5">
        <v>0.5</v>
      </c>
      <c r="DG139" s="5">
        <v>10</v>
      </c>
      <c r="DH139" s="5">
        <v>0.3</v>
      </c>
      <c r="DI139" s="5">
        <v>1</v>
      </c>
      <c r="DJ139" s="5">
        <v>1</v>
      </c>
      <c r="DK139" s="5" t="s">
        <v>169</v>
      </c>
      <c r="DL139" s="5" t="b">
        <v>0</v>
      </c>
      <c r="DM139" s="5">
        <v>32</v>
      </c>
      <c r="DN139" s="5">
        <v>1</v>
      </c>
      <c r="DO139" s="5" t="s">
        <v>170</v>
      </c>
      <c r="DP139" s="5" t="s">
        <v>1422</v>
      </c>
      <c r="DQ139" s="5" t="s">
        <v>171</v>
      </c>
      <c r="DR139" s="5" t="s">
        <v>172</v>
      </c>
      <c r="DS139" s="7" t="str">
        <f>_xlfn.XLOOKUP(CP139,datasetmap!B:B,datasetmap!A:A)</f>
        <v>HW</v>
      </c>
      <c r="DT139" s="8">
        <f t="shared" si="2"/>
        <v>1.312930048</v>
      </c>
    </row>
    <row r="140" ht="17.6" spans="1:124">
      <c r="A140" s="5" t="s">
        <v>1424</v>
      </c>
      <c r="B140" s="5">
        <v>32</v>
      </c>
      <c r="C140" s="5" t="s">
        <v>141</v>
      </c>
      <c r="D140" s="5" t="s">
        <v>1425</v>
      </c>
      <c r="E140" s="5" t="s">
        <v>1426</v>
      </c>
      <c r="F140" s="5" t="s">
        <v>1427</v>
      </c>
      <c r="G140" s="6">
        <v>1.77891687486475e+18</v>
      </c>
      <c r="H140" s="5">
        <v>0.328794109044612</v>
      </c>
      <c r="I140" s="5">
        <v>0.262184145930596</v>
      </c>
      <c r="J140" s="5">
        <v>0.898819058</v>
      </c>
      <c r="K140" s="5">
        <v>0.328794109044612</v>
      </c>
      <c r="L140" s="6">
        <v>1.77891687486465e+18</v>
      </c>
      <c r="M140" s="5">
        <v>0.288973384030418</v>
      </c>
      <c r="N140" s="6">
        <v>1.77891687633e+18</v>
      </c>
      <c r="O140" s="6">
        <v>1.77891682543564e+18</v>
      </c>
      <c r="P140" s="5">
        <v>47.574423455</v>
      </c>
      <c r="Q140" s="5">
        <v>0.25</v>
      </c>
      <c r="R140" s="5">
        <v>6</v>
      </c>
      <c r="S140" s="5" t="s">
        <v>145</v>
      </c>
      <c r="T140" s="5" t="s">
        <v>146</v>
      </c>
      <c r="U140" s="5" t="b">
        <v>0</v>
      </c>
      <c r="V140" s="5">
        <v>25</v>
      </c>
      <c r="W140" s="5">
        <v>0</v>
      </c>
      <c r="X140" s="5">
        <v>10</v>
      </c>
      <c r="Y140" s="5">
        <v>8</v>
      </c>
      <c r="Z140" s="5" t="b">
        <v>0</v>
      </c>
      <c r="AA140" s="5">
        <v>4</v>
      </c>
      <c r="AB140" s="5" t="b">
        <v>0</v>
      </c>
      <c r="AC140" s="5" t="b">
        <v>0</v>
      </c>
      <c r="AD140" s="5" t="s">
        <v>147</v>
      </c>
      <c r="AE140" s="5" t="s">
        <v>1428</v>
      </c>
      <c r="AF140" s="5">
        <v>1</v>
      </c>
      <c r="AG140" s="5" t="b">
        <v>0</v>
      </c>
      <c r="AH140" s="5" t="b">
        <v>0</v>
      </c>
      <c r="AI140" s="5" t="s">
        <v>149</v>
      </c>
      <c r="AJ140" s="5">
        <v>3</v>
      </c>
      <c r="AK140" s="5" t="b">
        <v>0</v>
      </c>
      <c r="AL140" s="5">
        <v>4</v>
      </c>
      <c r="AM140" s="5">
        <v>0</v>
      </c>
      <c r="AN140" s="5">
        <v>0</v>
      </c>
      <c r="AO140" s="5" t="b">
        <v>0</v>
      </c>
      <c r="AP140" s="5">
        <v>0.001</v>
      </c>
      <c r="AQ140" s="5">
        <v>256</v>
      </c>
      <c r="AR140" s="5" t="b">
        <v>1</v>
      </c>
      <c r="AS140" s="5">
        <v>1</v>
      </c>
      <c r="AT140" s="5">
        <v>3</v>
      </c>
      <c r="AU140" s="5">
        <v>0.1</v>
      </c>
      <c r="AV140" s="5">
        <v>0.1</v>
      </c>
      <c r="AW140" s="5" t="b">
        <v>0</v>
      </c>
      <c r="AX140" s="5">
        <v>32</v>
      </c>
      <c r="AY140" s="5">
        <v>42</v>
      </c>
      <c r="AZ140" s="5">
        <v>1</v>
      </c>
      <c r="BA140" s="5">
        <v>16</v>
      </c>
      <c r="BB140" s="5" t="s">
        <v>264</v>
      </c>
      <c r="BC140" s="5" t="s">
        <v>151</v>
      </c>
      <c r="BD140" s="5">
        <v>10</v>
      </c>
      <c r="BE140" s="5" t="b">
        <v>0</v>
      </c>
      <c r="BF140" s="5" t="s">
        <v>152</v>
      </c>
      <c r="BG140" s="5" t="s">
        <v>1429</v>
      </c>
      <c r="BH140" s="5">
        <v>0</v>
      </c>
      <c r="BI140" s="5" t="s">
        <v>154</v>
      </c>
      <c r="BJ140" s="5">
        <v>2</v>
      </c>
      <c r="BK140" s="5"/>
      <c r="BL140" s="5" t="b">
        <v>0</v>
      </c>
      <c r="BM140" s="5">
        <v>0</v>
      </c>
      <c r="BN140" s="5">
        <v>0</v>
      </c>
      <c r="BO140" s="5" t="s">
        <v>155</v>
      </c>
      <c r="BP140" s="5">
        <v>128</v>
      </c>
      <c r="BQ140" s="5" t="s">
        <v>156</v>
      </c>
      <c r="BR140" s="5">
        <v>2</v>
      </c>
      <c r="BS140" s="5" t="s">
        <v>157</v>
      </c>
      <c r="BT140" s="5">
        <v>0</v>
      </c>
      <c r="BU140" s="5">
        <v>96</v>
      </c>
      <c r="BV140" s="5" t="b">
        <v>0</v>
      </c>
      <c r="BW140" s="5">
        <v>1000</v>
      </c>
      <c r="BX140" s="5">
        <v>0.3</v>
      </c>
      <c r="BY140" s="5" t="b">
        <v>0</v>
      </c>
      <c r="BZ140" s="5" t="s">
        <v>1430</v>
      </c>
      <c r="CA140" s="5" t="s">
        <v>13</v>
      </c>
      <c r="CB140" s="5" t="s">
        <v>1431</v>
      </c>
      <c r="CC140" s="5" t="s">
        <v>160</v>
      </c>
      <c r="CD140" s="5">
        <v>1751</v>
      </c>
      <c r="CE140" s="5">
        <v>32</v>
      </c>
      <c r="CF140" s="5" t="b">
        <v>0</v>
      </c>
      <c r="CG140" s="5" t="s">
        <v>161</v>
      </c>
      <c r="CH140" s="5">
        <v>48</v>
      </c>
      <c r="CI140" s="5">
        <v>1</v>
      </c>
      <c r="CJ140" s="5">
        <v>0.25</v>
      </c>
      <c r="CK140" s="5">
        <v>7</v>
      </c>
      <c r="CL140" s="5" t="s">
        <v>1432</v>
      </c>
      <c r="CM140" s="5">
        <v>7</v>
      </c>
      <c r="CN140" s="5" t="s">
        <v>163</v>
      </c>
      <c r="CO140" s="5">
        <v>0</v>
      </c>
      <c r="CP140" s="5" t="s">
        <v>269</v>
      </c>
      <c r="CQ140" s="5" t="s">
        <v>164</v>
      </c>
      <c r="CR140" s="5" t="s">
        <v>1429</v>
      </c>
      <c r="CS140" s="5">
        <v>3</v>
      </c>
      <c r="CT140" s="5" t="b">
        <v>0</v>
      </c>
      <c r="CU140" s="5" t="s">
        <v>165</v>
      </c>
      <c r="CV140" s="5" t="b">
        <v>1</v>
      </c>
      <c r="CW140" s="5" t="b">
        <v>0</v>
      </c>
      <c r="CX140" s="5">
        <v>1</v>
      </c>
      <c r="CY140" s="5">
        <v>2</v>
      </c>
      <c r="CZ140" s="5" t="b">
        <v>0</v>
      </c>
      <c r="DA140" s="5" t="b">
        <v>0</v>
      </c>
      <c r="DB140" s="5" t="b">
        <v>0</v>
      </c>
      <c r="DC140" s="5" t="s">
        <v>166</v>
      </c>
      <c r="DD140" s="5" t="s">
        <v>167</v>
      </c>
      <c r="DE140" s="5" t="s">
        <v>168</v>
      </c>
      <c r="DF140" s="5">
        <v>0.5</v>
      </c>
      <c r="DG140" s="5">
        <v>10</v>
      </c>
      <c r="DH140" s="5">
        <v>0.3</v>
      </c>
      <c r="DI140" s="5">
        <v>1</v>
      </c>
      <c r="DJ140" s="5">
        <v>1</v>
      </c>
      <c r="DK140" s="5" t="s">
        <v>169</v>
      </c>
      <c r="DL140" s="5" t="b">
        <v>0</v>
      </c>
      <c r="DM140" s="5">
        <v>32</v>
      </c>
      <c r="DN140" s="5">
        <v>1</v>
      </c>
      <c r="DO140" s="5" t="s">
        <v>170</v>
      </c>
      <c r="DP140" s="5" t="s">
        <v>1431</v>
      </c>
      <c r="DQ140" s="5" t="s">
        <v>171</v>
      </c>
      <c r="DR140" s="5" t="s">
        <v>172</v>
      </c>
      <c r="DS140" s="7" t="str">
        <f>_xlfn.XLOOKUP(CP140,datasetmap!B:B,datasetmap!A:A)</f>
        <v>EC</v>
      </c>
      <c r="DT140" s="8">
        <f t="shared" si="2"/>
        <v>1.465249792</v>
      </c>
    </row>
    <row r="141" ht="17.6" spans="1:124">
      <c r="A141" s="5" t="s">
        <v>1433</v>
      </c>
      <c r="B141" s="5">
        <v>32</v>
      </c>
      <c r="C141" s="5" t="s">
        <v>141</v>
      </c>
      <c r="D141" s="5" t="s">
        <v>1434</v>
      </c>
      <c r="E141" s="5" t="s">
        <v>1435</v>
      </c>
      <c r="F141" s="5" t="s">
        <v>1436</v>
      </c>
      <c r="G141" s="6">
        <v>1.77891679229037e+18</v>
      </c>
      <c r="H141" s="5">
        <v>0.76896257243078</v>
      </c>
      <c r="I141" s="5">
        <v>0.754934124108223</v>
      </c>
      <c r="J141" s="5">
        <v>0.516960875</v>
      </c>
      <c r="K141" s="5">
        <v>0.76896257243078</v>
      </c>
      <c r="L141" s="6">
        <v>1.7789167922903e+18</v>
      </c>
      <c r="M141" s="5">
        <v>0.757225433526011</v>
      </c>
      <c r="N141" s="6">
        <v>1.77891682042213e+18</v>
      </c>
      <c r="O141" s="6">
        <v>1.77891665295164e+18</v>
      </c>
      <c r="P141" s="5">
        <v>46.196077913</v>
      </c>
      <c r="Q141" s="5">
        <v>0.25</v>
      </c>
      <c r="R141" s="5">
        <v>6</v>
      </c>
      <c r="S141" s="5" t="s">
        <v>145</v>
      </c>
      <c r="T141" s="5" t="s">
        <v>146</v>
      </c>
      <c r="U141" s="5" t="b">
        <v>0</v>
      </c>
      <c r="V141" s="5">
        <v>25</v>
      </c>
      <c r="W141" s="5">
        <v>0</v>
      </c>
      <c r="X141" s="5">
        <v>10</v>
      </c>
      <c r="Y141" s="5">
        <v>8</v>
      </c>
      <c r="Z141" s="5" t="b">
        <v>0</v>
      </c>
      <c r="AA141" s="5">
        <v>4</v>
      </c>
      <c r="AB141" s="5" t="b">
        <v>0</v>
      </c>
      <c r="AC141" s="5" t="b">
        <v>0</v>
      </c>
      <c r="AD141" s="5" t="s">
        <v>147</v>
      </c>
      <c r="AE141" s="5" t="s">
        <v>1437</v>
      </c>
      <c r="AF141" s="5">
        <v>1</v>
      </c>
      <c r="AG141" s="5" t="b">
        <v>0</v>
      </c>
      <c r="AH141" s="5" t="b">
        <v>0</v>
      </c>
      <c r="AI141" s="5" t="s">
        <v>149</v>
      </c>
      <c r="AJ141" s="5">
        <v>3</v>
      </c>
      <c r="AK141" s="5" t="b">
        <v>0</v>
      </c>
      <c r="AL141" s="5">
        <v>7</v>
      </c>
      <c r="AM141" s="5">
        <v>0</v>
      </c>
      <c r="AN141" s="5">
        <v>0</v>
      </c>
      <c r="AO141" s="5" t="b">
        <v>0</v>
      </c>
      <c r="AP141" s="5">
        <v>0.001</v>
      </c>
      <c r="AQ141" s="5">
        <v>256</v>
      </c>
      <c r="AR141" s="5" t="b">
        <v>1</v>
      </c>
      <c r="AS141" s="5">
        <v>1</v>
      </c>
      <c r="AT141" s="5">
        <v>3</v>
      </c>
      <c r="AU141" s="5">
        <v>0.1</v>
      </c>
      <c r="AV141" s="5">
        <v>0.1</v>
      </c>
      <c r="AW141" s="5" t="b">
        <v>0</v>
      </c>
      <c r="AX141" s="5">
        <v>32</v>
      </c>
      <c r="AY141" s="5">
        <v>7</v>
      </c>
      <c r="AZ141" s="5">
        <v>1</v>
      </c>
      <c r="BA141" s="5">
        <v>16</v>
      </c>
      <c r="BB141" s="5" t="s">
        <v>150</v>
      </c>
      <c r="BC141" s="5" t="s">
        <v>151</v>
      </c>
      <c r="BD141" s="5">
        <v>10</v>
      </c>
      <c r="BE141" s="5" t="b">
        <v>0</v>
      </c>
      <c r="BF141" s="5" t="s">
        <v>152</v>
      </c>
      <c r="BG141" s="5" t="s">
        <v>1438</v>
      </c>
      <c r="BH141" s="5">
        <v>0</v>
      </c>
      <c r="BI141" s="5" t="s">
        <v>154</v>
      </c>
      <c r="BJ141" s="5">
        <v>2</v>
      </c>
      <c r="BK141" s="5"/>
      <c r="BL141" s="5" t="b">
        <v>0</v>
      </c>
      <c r="BM141" s="5">
        <v>0</v>
      </c>
      <c r="BN141" s="5">
        <v>0</v>
      </c>
      <c r="BO141" s="5" t="s">
        <v>155</v>
      </c>
      <c r="BP141" s="5">
        <v>128</v>
      </c>
      <c r="BQ141" s="5" t="s">
        <v>156</v>
      </c>
      <c r="BR141" s="5">
        <v>2</v>
      </c>
      <c r="BS141" s="5" t="s">
        <v>157</v>
      </c>
      <c r="BT141" s="5">
        <v>0</v>
      </c>
      <c r="BU141" s="5">
        <v>96</v>
      </c>
      <c r="BV141" s="5" t="b">
        <v>0</v>
      </c>
      <c r="BW141" s="5">
        <v>1000</v>
      </c>
      <c r="BX141" s="5">
        <v>0.3</v>
      </c>
      <c r="BY141" s="5" t="b">
        <v>0</v>
      </c>
      <c r="BZ141" s="5" t="s">
        <v>1439</v>
      </c>
      <c r="CA141" s="5" t="s">
        <v>13</v>
      </c>
      <c r="CB141" s="5" t="s">
        <v>1440</v>
      </c>
      <c r="CC141" s="5" t="s">
        <v>160</v>
      </c>
      <c r="CD141" s="5">
        <v>144</v>
      </c>
      <c r="CE141" s="5">
        <v>32</v>
      </c>
      <c r="CF141" s="5" t="b">
        <v>0</v>
      </c>
      <c r="CG141" s="5" t="s">
        <v>161</v>
      </c>
      <c r="CH141" s="5">
        <v>48</v>
      </c>
      <c r="CI141" s="5">
        <v>1</v>
      </c>
      <c r="CJ141" s="5">
        <v>0.25</v>
      </c>
      <c r="CK141" s="5">
        <v>7</v>
      </c>
      <c r="CL141" s="5" t="s">
        <v>1441</v>
      </c>
      <c r="CM141" s="5">
        <v>7</v>
      </c>
      <c r="CN141" s="5" t="s">
        <v>163</v>
      </c>
      <c r="CO141" s="5">
        <v>0</v>
      </c>
      <c r="CP141" s="5" t="s">
        <v>8</v>
      </c>
      <c r="CQ141" s="5" t="s">
        <v>164</v>
      </c>
      <c r="CR141" s="5" t="s">
        <v>1438</v>
      </c>
      <c r="CS141" s="5">
        <v>963</v>
      </c>
      <c r="CT141" s="5" t="b">
        <v>0</v>
      </c>
      <c r="CU141" s="5" t="s">
        <v>165</v>
      </c>
      <c r="CV141" s="5" t="b">
        <v>1</v>
      </c>
      <c r="CW141" s="5" t="b">
        <v>0</v>
      </c>
      <c r="CX141" s="5">
        <v>1</v>
      </c>
      <c r="CY141" s="5">
        <v>2</v>
      </c>
      <c r="CZ141" s="5" t="b">
        <v>0</v>
      </c>
      <c r="DA141" s="5" t="b">
        <v>0</v>
      </c>
      <c r="DB141" s="5" t="b">
        <v>0</v>
      </c>
      <c r="DC141" s="5" t="s">
        <v>166</v>
      </c>
      <c r="DD141" s="5" t="s">
        <v>167</v>
      </c>
      <c r="DE141" s="5" t="s">
        <v>168</v>
      </c>
      <c r="DF141" s="5">
        <v>0.5</v>
      </c>
      <c r="DG141" s="5">
        <v>10</v>
      </c>
      <c r="DH141" s="5">
        <v>0.3</v>
      </c>
      <c r="DI141" s="5">
        <v>1</v>
      </c>
      <c r="DJ141" s="5">
        <v>1</v>
      </c>
      <c r="DK141" s="5" t="s">
        <v>169</v>
      </c>
      <c r="DL141" s="5" t="b">
        <v>0</v>
      </c>
      <c r="DM141" s="5">
        <v>32</v>
      </c>
      <c r="DN141" s="5">
        <v>1</v>
      </c>
      <c r="DO141" s="5" t="s">
        <v>170</v>
      </c>
      <c r="DP141" s="5" t="s">
        <v>1440</v>
      </c>
      <c r="DQ141" s="5" t="s">
        <v>171</v>
      </c>
      <c r="DR141" s="5" t="s">
        <v>172</v>
      </c>
      <c r="DS141" s="7" t="str">
        <f>_xlfn.XLOOKUP(CP141,datasetmap!B:B,datasetmap!A:A)</f>
        <v>PEMS-SF</v>
      </c>
      <c r="DT141" s="8">
        <f t="shared" si="2"/>
        <v>28.131759872</v>
      </c>
    </row>
    <row r="142" ht="17.6" spans="1:124">
      <c r="A142" s="5" t="s">
        <v>1442</v>
      </c>
      <c r="B142" s="5">
        <v>32</v>
      </c>
      <c r="C142" s="5" t="s">
        <v>141</v>
      </c>
      <c r="D142" s="5" t="s">
        <v>1443</v>
      </c>
      <c r="E142" s="5" t="s">
        <v>1444</v>
      </c>
      <c r="F142" s="5" t="s">
        <v>1445</v>
      </c>
      <c r="G142" s="6">
        <v>1.77891680740322e+18</v>
      </c>
      <c r="H142" s="5">
        <v>0.916659660093177</v>
      </c>
      <c r="I142" s="5">
        <v>0.912009753449474</v>
      </c>
      <c r="J142" s="5">
        <v>0.412176827</v>
      </c>
      <c r="K142" s="5">
        <v>0.916659660093177</v>
      </c>
      <c r="L142" s="6">
        <v>1.77891680740316e+18</v>
      </c>
      <c r="M142" s="5">
        <v>0.9125</v>
      </c>
      <c r="N142" s="6">
        <v>1.77891680813833e+18</v>
      </c>
      <c r="O142" s="6">
        <v>1.77891672156799e+18</v>
      </c>
      <c r="P142" s="5">
        <v>84.869524114</v>
      </c>
      <c r="Q142" s="5">
        <v>0.25</v>
      </c>
      <c r="R142" s="5">
        <v>6</v>
      </c>
      <c r="S142" s="5" t="s">
        <v>145</v>
      </c>
      <c r="T142" s="5" t="s">
        <v>146</v>
      </c>
      <c r="U142" s="5" t="b">
        <v>0</v>
      </c>
      <c r="V142" s="5">
        <v>25</v>
      </c>
      <c r="W142" s="5">
        <v>0</v>
      </c>
      <c r="X142" s="5">
        <v>10</v>
      </c>
      <c r="Y142" s="5">
        <v>8</v>
      </c>
      <c r="Z142" s="5" t="b">
        <v>0</v>
      </c>
      <c r="AA142" s="5">
        <v>4</v>
      </c>
      <c r="AB142" s="5" t="b">
        <v>0</v>
      </c>
      <c r="AC142" s="5" t="b">
        <v>0</v>
      </c>
      <c r="AD142" s="5" t="s">
        <v>147</v>
      </c>
      <c r="AE142" s="5" t="s">
        <v>1446</v>
      </c>
      <c r="AF142" s="5">
        <v>1</v>
      </c>
      <c r="AG142" s="5" t="b">
        <v>0</v>
      </c>
      <c r="AH142" s="5" t="b">
        <v>0</v>
      </c>
      <c r="AI142" s="5" t="s">
        <v>149</v>
      </c>
      <c r="AJ142" s="5">
        <v>3</v>
      </c>
      <c r="AK142" s="5" t="b">
        <v>0</v>
      </c>
      <c r="AL142" s="5">
        <v>8</v>
      </c>
      <c r="AM142" s="5">
        <v>0</v>
      </c>
      <c r="AN142" s="5">
        <v>0</v>
      </c>
      <c r="AO142" s="5" t="b">
        <v>0</v>
      </c>
      <c r="AP142" s="5">
        <v>0.001</v>
      </c>
      <c r="AQ142" s="5">
        <v>256</v>
      </c>
      <c r="AR142" s="5" t="b">
        <v>1</v>
      </c>
      <c r="AS142" s="5">
        <v>1</v>
      </c>
      <c r="AT142" s="5">
        <v>3</v>
      </c>
      <c r="AU142" s="5">
        <v>0.1</v>
      </c>
      <c r="AV142" s="5">
        <v>0.1</v>
      </c>
      <c r="AW142" s="5" t="b">
        <v>0</v>
      </c>
      <c r="AX142" s="5">
        <v>32</v>
      </c>
      <c r="AY142" s="5">
        <v>42</v>
      </c>
      <c r="AZ142" s="5">
        <v>1</v>
      </c>
      <c r="BA142" s="5">
        <v>16</v>
      </c>
      <c r="BB142" s="5" t="s">
        <v>275</v>
      </c>
      <c r="BC142" s="5" t="s">
        <v>151</v>
      </c>
      <c r="BD142" s="5">
        <v>10</v>
      </c>
      <c r="BE142" s="5" t="b">
        <v>0</v>
      </c>
      <c r="BF142" s="5" t="s">
        <v>152</v>
      </c>
      <c r="BG142" s="5" t="s">
        <v>1447</v>
      </c>
      <c r="BH142" s="5">
        <v>0</v>
      </c>
      <c r="BI142" s="5" t="s">
        <v>154</v>
      </c>
      <c r="BJ142" s="5">
        <v>2</v>
      </c>
      <c r="BK142" s="5"/>
      <c r="BL142" s="5" t="b">
        <v>0</v>
      </c>
      <c r="BM142" s="5">
        <v>0</v>
      </c>
      <c r="BN142" s="5">
        <v>0</v>
      </c>
      <c r="BO142" s="5" t="s">
        <v>155</v>
      </c>
      <c r="BP142" s="5">
        <v>128</v>
      </c>
      <c r="BQ142" s="5" t="s">
        <v>156</v>
      </c>
      <c r="BR142" s="5">
        <v>2</v>
      </c>
      <c r="BS142" s="5" t="s">
        <v>157</v>
      </c>
      <c r="BT142" s="5">
        <v>0</v>
      </c>
      <c r="BU142" s="5">
        <v>96</v>
      </c>
      <c r="BV142" s="5" t="b">
        <v>0</v>
      </c>
      <c r="BW142" s="5">
        <v>1000</v>
      </c>
      <c r="BX142" s="5">
        <v>0.3</v>
      </c>
      <c r="BY142" s="5" t="b">
        <v>0</v>
      </c>
      <c r="BZ142" s="5" t="s">
        <v>1448</v>
      </c>
      <c r="CA142" s="5" t="s">
        <v>13</v>
      </c>
      <c r="CB142" s="5" t="s">
        <v>1449</v>
      </c>
      <c r="CC142" s="5" t="s">
        <v>160</v>
      </c>
      <c r="CD142" s="5">
        <v>315</v>
      </c>
      <c r="CE142" s="5">
        <v>32</v>
      </c>
      <c r="CF142" s="5" t="b">
        <v>0</v>
      </c>
      <c r="CG142" s="5" t="s">
        <v>161</v>
      </c>
      <c r="CH142" s="5">
        <v>48</v>
      </c>
      <c r="CI142" s="5">
        <v>1</v>
      </c>
      <c r="CJ142" s="5">
        <v>0.25</v>
      </c>
      <c r="CK142" s="5">
        <v>7</v>
      </c>
      <c r="CL142" s="5" t="s">
        <v>1450</v>
      </c>
      <c r="CM142" s="5">
        <v>7</v>
      </c>
      <c r="CN142" s="5" t="s">
        <v>163</v>
      </c>
      <c r="CO142" s="5">
        <v>0</v>
      </c>
      <c r="CP142" s="5" t="s">
        <v>280</v>
      </c>
      <c r="CQ142" s="5" t="s">
        <v>164</v>
      </c>
      <c r="CR142" s="5" t="s">
        <v>1447</v>
      </c>
      <c r="CS142" s="5">
        <v>3</v>
      </c>
      <c r="CT142" s="5" t="b">
        <v>0</v>
      </c>
      <c r="CU142" s="5" t="s">
        <v>165</v>
      </c>
      <c r="CV142" s="5" t="b">
        <v>1</v>
      </c>
      <c r="CW142" s="5" t="b">
        <v>0</v>
      </c>
      <c r="CX142" s="5">
        <v>1</v>
      </c>
      <c r="CY142" s="5">
        <v>2</v>
      </c>
      <c r="CZ142" s="5" t="b">
        <v>0</v>
      </c>
      <c r="DA142" s="5" t="b">
        <v>0</v>
      </c>
      <c r="DB142" s="5" t="b">
        <v>0</v>
      </c>
      <c r="DC142" s="5" t="s">
        <v>166</v>
      </c>
      <c r="DD142" s="5" t="s">
        <v>167</v>
      </c>
      <c r="DE142" s="5" t="s">
        <v>168</v>
      </c>
      <c r="DF142" s="5">
        <v>0.5</v>
      </c>
      <c r="DG142" s="5">
        <v>10</v>
      </c>
      <c r="DH142" s="5">
        <v>0.3</v>
      </c>
      <c r="DI142" s="5">
        <v>1</v>
      </c>
      <c r="DJ142" s="5">
        <v>1</v>
      </c>
      <c r="DK142" s="5" t="s">
        <v>169</v>
      </c>
      <c r="DL142" s="5" t="b">
        <v>0</v>
      </c>
      <c r="DM142" s="5">
        <v>32</v>
      </c>
      <c r="DN142" s="5">
        <v>1</v>
      </c>
      <c r="DO142" s="5" t="s">
        <v>170</v>
      </c>
      <c r="DP142" s="5" t="s">
        <v>1449</v>
      </c>
      <c r="DQ142" s="5" t="s">
        <v>171</v>
      </c>
      <c r="DR142" s="5" t="s">
        <v>172</v>
      </c>
      <c r="DS142" s="7" t="str">
        <f>_xlfn.XLOOKUP(CP142,datasetmap!B:B,datasetmap!A:A)</f>
        <v>UWG</v>
      </c>
      <c r="DT142" s="8">
        <f t="shared" si="2"/>
        <v>0.735110144</v>
      </c>
    </row>
    <row r="143" ht="17.6" spans="1:124">
      <c r="A143" s="5" t="s">
        <v>1451</v>
      </c>
      <c r="B143" s="5">
        <v>32</v>
      </c>
      <c r="C143" s="5" t="s">
        <v>141</v>
      </c>
      <c r="D143" s="5" t="s">
        <v>1452</v>
      </c>
      <c r="E143" s="5" t="s">
        <v>1453</v>
      </c>
      <c r="F143" s="5" t="s">
        <v>1454</v>
      </c>
      <c r="G143" s="6">
        <v>1.77891659859504e+18</v>
      </c>
      <c r="H143" s="5">
        <v>0.657067874102533</v>
      </c>
      <c r="I143" s="5">
        <v>0.655086722296209</v>
      </c>
      <c r="J143" s="5">
        <v>0.812011345</v>
      </c>
      <c r="K143" s="5">
        <v>0.657067874102533</v>
      </c>
      <c r="L143" s="6">
        <v>1.77891659859498e+18</v>
      </c>
      <c r="M143" s="5">
        <v>0.655788876276958</v>
      </c>
      <c r="N143" s="6">
        <v>1.77891666615607e+18</v>
      </c>
      <c r="O143" s="6">
        <v>1.77891629176033e+18</v>
      </c>
      <c r="P143" s="5">
        <v>57.409646969</v>
      </c>
      <c r="Q143" s="5">
        <v>0.25</v>
      </c>
      <c r="R143" s="5">
        <v>6</v>
      </c>
      <c r="S143" s="5" t="s">
        <v>145</v>
      </c>
      <c r="T143" s="5" t="s">
        <v>146</v>
      </c>
      <c r="U143" s="5" t="b">
        <v>0</v>
      </c>
      <c r="V143" s="5">
        <v>25</v>
      </c>
      <c r="W143" s="5">
        <v>0</v>
      </c>
      <c r="X143" s="5">
        <v>10</v>
      </c>
      <c r="Y143" s="5">
        <v>8</v>
      </c>
      <c r="Z143" s="5" t="b">
        <v>0</v>
      </c>
      <c r="AA143" s="5">
        <v>4</v>
      </c>
      <c r="AB143" s="5" t="b">
        <v>0</v>
      </c>
      <c r="AC143" s="5" t="b">
        <v>0</v>
      </c>
      <c r="AD143" s="5" t="s">
        <v>147</v>
      </c>
      <c r="AE143" s="5" t="s">
        <v>1455</v>
      </c>
      <c r="AF143" s="5">
        <v>1</v>
      </c>
      <c r="AG143" s="5" t="b">
        <v>0</v>
      </c>
      <c r="AH143" s="5" t="b">
        <v>0</v>
      </c>
      <c r="AI143" s="5" t="s">
        <v>149</v>
      </c>
      <c r="AJ143" s="5">
        <v>3</v>
      </c>
      <c r="AK143" s="5" t="b">
        <v>0</v>
      </c>
      <c r="AL143" s="5">
        <v>2</v>
      </c>
      <c r="AM143" s="5">
        <v>0</v>
      </c>
      <c r="AN143" s="5">
        <v>0</v>
      </c>
      <c r="AO143" s="5" t="b">
        <v>0</v>
      </c>
      <c r="AP143" s="5">
        <v>0.001</v>
      </c>
      <c r="AQ143" s="5">
        <v>256</v>
      </c>
      <c r="AR143" s="5" t="b">
        <v>1</v>
      </c>
      <c r="AS143" s="5">
        <v>1</v>
      </c>
      <c r="AT143" s="5">
        <v>3</v>
      </c>
      <c r="AU143" s="5">
        <v>0.1</v>
      </c>
      <c r="AV143" s="5">
        <v>0.1</v>
      </c>
      <c r="AW143" s="5" t="b">
        <v>0</v>
      </c>
      <c r="AX143" s="5">
        <v>32</v>
      </c>
      <c r="AY143" s="5">
        <v>7</v>
      </c>
      <c r="AZ143" s="5">
        <v>1</v>
      </c>
      <c r="BA143" s="5">
        <v>16</v>
      </c>
      <c r="BB143" s="5" t="s">
        <v>189</v>
      </c>
      <c r="BC143" s="5" t="s">
        <v>151</v>
      </c>
      <c r="BD143" s="5">
        <v>10</v>
      </c>
      <c r="BE143" s="5" t="b">
        <v>0</v>
      </c>
      <c r="BF143" s="5" t="s">
        <v>152</v>
      </c>
      <c r="BG143" s="5" t="s">
        <v>1456</v>
      </c>
      <c r="BH143" s="5">
        <v>0</v>
      </c>
      <c r="BI143" s="5" t="s">
        <v>154</v>
      </c>
      <c r="BJ143" s="5">
        <v>2</v>
      </c>
      <c r="BK143" s="5"/>
      <c r="BL143" s="5" t="b">
        <v>0</v>
      </c>
      <c r="BM143" s="5">
        <v>0</v>
      </c>
      <c r="BN143" s="5">
        <v>0</v>
      </c>
      <c r="BO143" s="5" t="s">
        <v>155</v>
      </c>
      <c r="BP143" s="5">
        <v>128</v>
      </c>
      <c r="BQ143" s="5" t="s">
        <v>156</v>
      </c>
      <c r="BR143" s="5">
        <v>2</v>
      </c>
      <c r="BS143" s="5" t="s">
        <v>157</v>
      </c>
      <c r="BT143" s="5">
        <v>0</v>
      </c>
      <c r="BU143" s="5">
        <v>96</v>
      </c>
      <c r="BV143" s="5" t="b">
        <v>0</v>
      </c>
      <c r="BW143" s="5">
        <v>1000</v>
      </c>
      <c r="BX143" s="5">
        <v>0.3</v>
      </c>
      <c r="BY143" s="5" t="b">
        <v>0</v>
      </c>
      <c r="BZ143" s="5" t="s">
        <v>1457</v>
      </c>
      <c r="CA143" s="5" t="s">
        <v>13</v>
      </c>
      <c r="CB143" s="5" t="s">
        <v>1458</v>
      </c>
      <c r="CC143" s="5" t="s">
        <v>160</v>
      </c>
      <c r="CD143" s="5">
        <v>62</v>
      </c>
      <c r="CE143" s="5">
        <v>32</v>
      </c>
      <c r="CF143" s="5" t="b">
        <v>0</v>
      </c>
      <c r="CG143" s="5" t="s">
        <v>161</v>
      </c>
      <c r="CH143" s="5">
        <v>48</v>
      </c>
      <c r="CI143" s="5">
        <v>1</v>
      </c>
      <c r="CJ143" s="5">
        <v>0.25</v>
      </c>
      <c r="CK143" s="5">
        <v>7</v>
      </c>
      <c r="CL143" s="5" t="s">
        <v>1459</v>
      </c>
      <c r="CM143" s="5">
        <v>7</v>
      </c>
      <c r="CN143" s="5" t="s">
        <v>163</v>
      </c>
      <c r="CO143" s="5">
        <v>0</v>
      </c>
      <c r="CP143" s="5" t="s">
        <v>194</v>
      </c>
      <c r="CQ143" s="5" t="s">
        <v>164</v>
      </c>
      <c r="CR143" s="5" t="s">
        <v>1456</v>
      </c>
      <c r="CS143" s="5">
        <v>144</v>
      </c>
      <c r="CT143" s="5" t="b">
        <v>0</v>
      </c>
      <c r="CU143" s="5" t="s">
        <v>165</v>
      </c>
      <c r="CV143" s="5" t="b">
        <v>1</v>
      </c>
      <c r="CW143" s="5" t="b">
        <v>0</v>
      </c>
      <c r="CX143" s="5">
        <v>1</v>
      </c>
      <c r="CY143" s="5">
        <v>2</v>
      </c>
      <c r="CZ143" s="5" t="b">
        <v>0</v>
      </c>
      <c r="DA143" s="5" t="b">
        <v>0</v>
      </c>
      <c r="DB143" s="5" t="b">
        <v>0</v>
      </c>
      <c r="DC143" s="5" t="s">
        <v>166</v>
      </c>
      <c r="DD143" s="5" t="s">
        <v>167</v>
      </c>
      <c r="DE143" s="5" t="s">
        <v>168</v>
      </c>
      <c r="DF143" s="5">
        <v>0.5</v>
      </c>
      <c r="DG143" s="5">
        <v>10</v>
      </c>
      <c r="DH143" s="5">
        <v>0.3</v>
      </c>
      <c r="DI143" s="5">
        <v>1</v>
      </c>
      <c r="DJ143" s="5">
        <v>1</v>
      </c>
      <c r="DK143" s="5" t="s">
        <v>169</v>
      </c>
      <c r="DL143" s="5" t="b">
        <v>0</v>
      </c>
      <c r="DM143" s="5">
        <v>32</v>
      </c>
      <c r="DN143" s="5">
        <v>1</v>
      </c>
      <c r="DO143" s="5" t="s">
        <v>170</v>
      </c>
      <c r="DP143" s="5" t="s">
        <v>1458</v>
      </c>
      <c r="DQ143" s="5" t="s">
        <v>171</v>
      </c>
      <c r="DR143" s="5" t="s">
        <v>172</v>
      </c>
      <c r="DS143" s="7" t="str">
        <f>_xlfn.XLOOKUP(CP143,datasetmap!B:B,datasetmap!A:A)</f>
        <v>FD</v>
      </c>
      <c r="DT143" s="8">
        <f t="shared" si="2"/>
        <v>67.561029888</v>
      </c>
    </row>
    <row r="144" ht="17.6" spans="1:124">
      <c r="A144" s="5" t="s">
        <v>1460</v>
      </c>
      <c r="B144" s="5">
        <v>32</v>
      </c>
      <c r="C144" s="5" t="s">
        <v>141</v>
      </c>
      <c r="D144" s="5" t="s">
        <v>1461</v>
      </c>
      <c r="E144" s="5" t="s">
        <v>1462</v>
      </c>
      <c r="F144" s="5" t="s">
        <v>1463</v>
      </c>
      <c r="G144" s="6">
        <v>1.77891649707855e+18</v>
      </c>
      <c r="H144" s="5">
        <v>0.993751109097368</v>
      </c>
      <c r="I144" s="5">
        <v>0.993646321261203</v>
      </c>
      <c r="J144" s="5">
        <v>0.600864135</v>
      </c>
      <c r="K144" s="5">
        <v>0.993751109097368</v>
      </c>
      <c r="L144" s="6">
        <v>1.77891649707845e+18</v>
      </c>
      <c r="M144" s="5">
        <v>0.993633469758981</v>
      </c>
      <c r="N144" s="6">
        <v>1.77891650220622e+18</v>
      </c>
      <c r="O144" s="6">
        <v>1.77891634471332e+18</v>
      </c>
      <c r="P144" s="5">
        <v>130.707499045</v>
      </c>
      <c r="Q144" s="5">
        <v>0.25</v>
      </c>
      <c r="R144" s="5">
        <v>6</v>
      </c>
      <c r="S144" s="5" t="s">
        <v>145</v>
      </c>
      <c r="T144" s="5" t="s">
        <v>146</v>
      </c>
      <c r="U144" s="5" t="b">
        <v>0</v>
      </c>
      <c r="V144" s="5">
        <v>25</v>
      </c>
      <c r="W144" s="5">
        <v>0</v>
      </c>
      <c r="X144" s="5">
        <v>10</v>
      </c>
      <c r="Y144" s="5">
        <v>8</v>
      </c>
      <c r="Z144" s="5" t="b">
        <v>0</v>
      </c>
      <c r="AA144" s="5">
        <v>4</v>
      </c>
      <c r="AB144" s="5" t="b">
        <v>0</v>
      </c>
      <c r="AC144" s="5" t="b">
        <v>0</v>
      </c>
      <c r="AD144" s="5" t="s">
        <v>147</v>
      </c>
      <c r="AE144" s="5" t="s">
        <v>1464</v>
      </c>
      <c r="AF144" s="5">
        <v>1</v>
      </c>
      <c r="AG144" s="5" t="b">
        <v>0</v>
      </c>
      <c r="AH144" s="5" t="b">
        <v>0</v>
      </c>
      <c r="AI144" s="5" t="s">
        <v>149</v>
      </c>
      <c r="AJ144" s="5">
        <v>3</v>
      </c>
      <c r="AK144" s="5" t="b">
        <v>0</v>
      </c>
      <c r="AL144" s="5">
        <v>10</v>
      </c>
      <c r="AM144" s="5">
        <v>0</v>
      </c>
      <c r="AN144" s="5">
        <v>0</v>
      </c>
      <c r="AO144" s="5" t="b">
        <v>0</v>
      </c>
      <c r="AP144" s="5">
        <v>0.001</v>
      </c>
      <c r="AQ144" s="5">
        <v>256</v>
      </c>
      <c r="AR144" s="5" t="b">
        <v>1</v>
      </c>
      <c r="AS144" s="5">
        <v>1</v>
      </c>
      <c r="AT144" s="5">
        <v>3</v>
      </c>
      <c r="AU144" s="5">
        <v>0.1</v>
      </c>
      <c r="AV144" s="5">
        <v>0.1</v>
      </c>
      <c r="AW144" s="5" t="b">
        <v>0</v>
      </c>
      <c r="AX144" s="5">
        <v>32</v>
      </c>
      <c r="AY144" s="5">
        <v>7</v>
      </c>
      <c r="AZ144" s="5">
        <v>1</v>
      </c>
      <c r="BA144" s="5">
        <v>16</v>
      </c>
      <c r="BB144" s="5" t="s">
        <v>178</v>
      </c>
      <c r="BC144" s="5" t="s">
        <v>151</v>
      </c>
      <c r="BD144" s="5">
        <v>10</v>
      </c>
      <c r="BE144" s="5" t="b">
        <v>0</v>
      </c>
      <c r="BF144" s="5" t="s">
        <v>152</v>
      </c>
      <c r="BG144" s="5" t="s">
        <v>1465</v>
      </c>
      <c r="BH144" s="5">
        <v>0</v>
      </c>
      <c r="BI144" s="5" t="s">
        <v>154</v>
      </c>
      <c r="BJ144" s="5">
        <v>2</v>
      </c>
      <c r="BK144" s="5"/>
      <c r="BL144" s="5" t="b">
        <v>0</v>
      </c>
      <c r="BM144" s="5">
        <v>0</v>
      </c>
      <c r="BN144" s="5">
        <v>0</v>
      </c>
      <c r="BO144" s="5" t="s">
        <v>155</v>
      </c>
      <c r="BP144" s="5">
        <v>128</v>
      </c>
      <c r="BQ144" s="5" t="s">
        <v>156</v>
      </c>
      <c r="BR144" s="5">
        <v>2</v>
      </c>
      <c r="BS144" s="5" t="s">
        <v>157</v>
      </c>
      <c r="BT144" s="5">
        <v>0</v>
      </c>
      <c r="BU144" s="5">
        <v>96</v>
      </c>
      <c r="BV144" s="5" t="b">
        <v>0</v>
      </c>
      <c r="BW144" s="5">
        <v>1000</v>
      </c>
      <c r="BX144" s="5">
        <v>0.3</v>
      </c>
      <c r="BY144" s="5" t="b">
        <v>0</v>
      </c>
      <c r="BZ144" s="5" t="s">
        <v>1466</v>
      </c>
      <c r="CA144" s="5" t="s">
        <v>13</v>
      </c>
      <c r="CB144" s="5" t="s">
        <v>1467</v>
      </c>
      <c r="CC144" s="5" t="s">
        <v>160</v>
      </c>
      <c r="CD144" s="5">
        <v>93</v>
      </c>
      <c r="CE144" s="5">
        <v>32</v>
      </c>
      <c r="CF144" s="5" t="b">
        <v>0</v>
      </c>
      <c r="CG144" s="5" t="s">
        <v>161</v>
      </c>
      <c r="CH144" s="5">
        <v>48</v>
      </c>
      <c r="CI144" s="5">
        <v>1</v>
      </c>
      <c r="CJ144" s="5">
        <v>0.25</v>
      </c>
      <c r="CK144" s="5">
        <v>7</v>
      </c>
      <c r="CL144" s="5" t="s">
        <v>1468</v>
      </c>
      <c r="CM144" s="5">
        <v>7</v>
      </c>
      <c r="CN144" s="5" t="s">
        <v>163</v>
      </c>
      <c r="CO144" s="5">
        <v>0</v>
      </c>
      <c r="CP144" s="5" t="s">
        <v>183</v>
      </c>
      <c r="CQ144" s="5" t="s">
        <v>164</v>
      </c>
      <c r="CR144" s="5" t="s">
        <v>1465</v>
      </c>
      <c r="CS144" s="5">
        <v>13</v>
      </c>
      <c r="CT144" s="5" t="b">
        <v>0</v>
      </c>
      <c r="CU144" s="5" t="s">
        <v>165</v>
      </c>
      <c r="CV144" s="5" t="b">
        <v>1</v>
      </c>
      <c r="CW144" s="5" t="b">
        <v>0</v>
      </c>
      <c r="CX144" s="5">
        <v>1</v>
      </c>
      <c r="CY144" s="5">
        <v>2</v>
      </c>
      <c r="CZ144" s="5" t="b">
        <v>0</v>
      </c>
      <c r="DA144" s="5" t="b">
        <v>0</v>
      </c>
      <c r="DB144" s="5" t="b">
        <v>0</v>
      </c>
      <c r="DC144" s="5" t="s">
        <v>166</v>
      </c>
      <c r="DD144" s="5" t="s">
        <v>167</v>
      </c>
      <c r="DE144" s="5" t="s">
        <v>168</v>
      </c>
      <c r="DF144" s="5">
        <v>0.5</v>
      </c>
      <c r="DG144" s="5">
        <v>10</v>
      </c>
      <c r="DH144" s="5">
        <v>0.3</v>
      </c>
      <c r="DI144" s="5">
        <v>1</v>
      </c>
      <c r="DJ144" s="5">
        <v>1</v>
      </c>
      <c r="DK144" s="5" t="s">
        <v>169</v>
      </c>
      <c r="DL144" s="5" t="b">
        <v>0</v>
      </c>
      <c r="DM144" s="5">
        <v>32</v>
      </c>
      <c r="DN144" s="5">
        <v>1</v>
      </c>
      <c r="DO144" s="5" t="s">
        <v>170</v>
      </c>
      <c r="DP144" s="5" t="s">
        <v>1467</v>
      </c>
      <c r="DQ144" s="5" t="s">
        <v>171</v>
      </c>
      <c r="DR144" s="5" t="s">
        <v>172</v>
      </c>
      <c r="DS144" s="7" t="str">
        <f>_xlfn.XLOOKUP(CP144,datasetmap!B:B,datasetmap!A:A)</f>
        <v>SAD</v>
      </c>
      <c r="DT144" s="8">
        <f t="shared" si="2"/>
        <v>5.127670016</v>
      </c>
    </row>
    <row r="145" ht="17.6" spans="1:124">
      <c r="A145" s="5" t="s">
        <v>1469</v>
      </c>
      <c r="B145" s="5">
        <v>32</v>
      </c>
      <c r="C145" s="5" t="s">
        <v>141</v>
      </c>
      <c r="D145" s="5" t="s">
        <v>1470</v>
      </c>
      <c r="E145" s="5" t="s">
        <v>1471</v>
      </c>
      <c r="F145" s="5" t="s">
        <v>1472</v>
      </c>
      <c r="G145" s="6">
        <v>1.77891630586389e+18</v>
      </c>
      <c r="H145" s="5">
        <v>0.57012987012987</v>
      </c>
      <c r="I145" s="5">
        <v>0.561249999999999</v>
      </c>
      <c r="J145" s="5">
        <v>0.577233178</v>
      </c>
      <c r="K145" s="5">
        <v>0.57012987012987</v>
      </c>
      <c r="L145" s="6">
        <v>1.77891630586382e+18</v>
      </c>
      <c r="M145" s="5">
        <v>0.566666666666666</v>
      </c>
      <c r="N145" s="6">
        <v>1.77891630700942e+18</v>
      </c>
      <c r="O145" s="6">
        <v>1.77891626168339e+18</v>
      </c>
      <c r="P145" s="5">
        <v>42.459327762</v>
      </c>
      <c r="Q145" s="5">
        <v>0.25</v>
      </c>
      <c r="R145" s="5">
        <v>6</v>
      </c>
      <c r="S145" s="5" t="s">
        <v>145</v>
      </c>
      <c r="T145" s="5" t="s">
        <v>146</v>
      </c>
      <c r="U145" s="5" t="b">
        <v>0</v>
      </c>
      <c r="V145" s="5">
        <v>25</v>
      </c>
      <c r="W145" s="5">
        <v>0</v>
      </c>
      <c r="X145" s="5">
        <v>10</v>
      </c>
      <c r="Y145" s="5">
        <v>8</v>
      </c>
      <c r="Z145" s="5" t="b">
        <v>0</v>
      </c>
      <c r="AA145" s="5">
        <v>4</v>
      </c>
      <c r="AB145" s="5" t="b">
        <v>0</v>
      </c>
      <c r="AC145" s="5" t="b">
        <v>0</v>
      </c>
      <c r="AD145" s="5" t="s">
        <v>147</v>
      </c>
      <c r="AE145" s="5" t="s">
        <v>1473</v>
      </c>
      <c r="AF145" s="5">
        <v>1</v>
      </c>
      <c r="AG145" s="5" t="b">
        <v>0</v>
      </c>
      <c r="AH145" s="5" t="b">
        <v>0</v>
      </c>
      <c r="AI145" s="5" t="s">
        <v>149</v>
      </c>
      <c r="AJ145" s="5">
        <v>3</v>
      </c>
      <c r="AK145" s="5" t="b">
        <v>0</v>
      </c>
      <c r="AL145" s="5">
        <v>2</v>
      </c>
      <c r="AM145" s="5">
        <v>0</v>
      </c>
      <c r="AN145" s="5">
        <v>0</v>
      </c>
      <c r="AO145" s="5" t="b">
        <v>0</v>
      </c>
      <c r="AP145" s="5">
        <v>0.001</v>
      </c>
      <c r="AQ145" s="5">
        <v>256</v>
      </c>
      <c r="AR145" s="5" t="b">
        <v>1</v>
      </c>
      <c r="AS145" s="5">
        <v>1</v>
      </c>
      <c r="AT145" s="5">
        <v>3</v>
      </c>
      <c r="AU145" s="5">
        <v>0.1</v>
      </c>
      <c r="AV145" s="5">
        <v>0.1</v>
      </c>
      <c r="AW145" s="5" t="b">
        <v>0</v>
      </c>
      <c r="AX145" s="5">
        <v>32</v>
      </c>
      <c r="AY145" s="5">
        <v>7</v>
      </c>
      <c r="AZ145" s="5">
        <v>1</v>
      </c>
      <c r="BA145" s="5">
        <v>16</v>
      </c>
      <c r="BB145" s="5" t="s">
        <v>200</v>
      </c>
      <c r="BC145" s="5" t="s">
        <v>151</v>
      </c>
      <c r="BD145" s="5">
        <v>10</v>
      </c>
      <c r="BE145" s="5" t="b">
        <v>0</v>
      </c>
      <c r="BF145" s="5" t="s">
        <v>152</v>
      </c>
      <c r="BG145" s="5" t="s">
        <v>1474</v>
      </c>
      <c r="BH145" s="5">
        <v>0</v>
      </c>
      <c r="BI145" s="5" t="s">
        <v>154</v>
      </c>
      <c r="BJ145" s="5">
        <v>2</v>
      </c>
      <c r="BK145" s="5"/>
      <c r="BL145" s="5" t="b">
        <v>0</v>
      </c>
      <c r="BM145" s="5">
        <v>0</v>
      </c>
      <c r="BN145" s="5">
        <v>0</v>
      </c>
      <c r="BO145" s="5" t="s">
        <v>155</v>
      </c>
      <c r="BP145" s="5">
        <v>128</v>
      </c>
      <c r="BQ145" s="5" t="s">
        <v>156</v>
      </c>
      <c r="BR145" s="5">
        <v>2</v>
      </c>
      <c r="BS145" s="5" t="s">
        <v>157</v>
      </c>
      <c r="BT145" s="5">
        <v>0</v>
      </c>
      <c r="BU145" s="5">
        <v>96</v>
      </c>
      <c r="BV145" s="5" t="b">
        <v>0</v>
      </c>
      <c r="BW145" s="5">
        <v>1000</v>
      </c>
      <c r="BX145" s="5">
        <v>0.3</v>
      </c>
      <c r="BY145" s="5" t="b">
        <v>0</v>
      </c>
      <c r="BZ145" s="5" t="s">
        <v>1475</v>
      </c>
      <c r="CA145" s="5" t="s">
        <v>13</v>
      </c>
      <c r="CB145" s="5" t="s">
        <v>1476</v>
      </c>
      <c r="CC145" s="5" t="s">
        <v>160</v>
      </c>
      <c r="CD145" s="5">
        <v>1152</v>
      </c>
      <c r="CE145" s="5">
        <v>32</v>
      </c>
      <c r="CF145" s="5" t="b">
        <v>0</v>
      </c>
      <c r="CG145" s="5" t="s">
        <v>161</v>
      </c>
      <c r="CH145" s="5">
        <v>48</v>
      </c>
      <c r="CI145" s="5">
        <v>1</v>
      </c>
      <c r="CJ145" s="5">
        <v>0.25</v>
      </c>
      <c r="CK145" s="5">
        <v>7</v>
      </c>
      <c r="CL145" s="5" t="s">
        <v>1477</v>
      </c>
      <c r="CM145" s="5">
        <v>7</v>
      </c>
      <c r="CN145" s="5" t="s">
        <v>163</v>
      </c>
      <c r="CO145" s="5">
        <v>0</v>
      </c>
      <c r="CP145" s="5" t="s">
        <v>205</v>
      </c>
      <c r="CQ145" s="5" t="s">
        <v>164</v>
      </c>
      <c r="CR145" s="5" t="s">
        <v>1474</v>
      </c>
      <c r="CS145" s="5">
        <v>7</v>
      </c>
      <c r="CT145" s="5" t="b">
        <v>0</v>
      </c>
      <c r="CU145" s="5" t="s">
        <v>165</v>
      </c>
      <c r="CV145" s="5" t="b">
        <v>1</v>
      </c>
      <c r="CW145" s="5" t="b">
        <v>0</v>
      </c>
      <c r="CX145" s="5">
        <v>1</v>
      </c>
      <c r="CY145" s="5">
        <v>2</v>
      </c>
      <c r="CZ145" s="5" t="b">
        <v>0</v>
      </c>
      <c r="DA145" s="5" t="b">
        <v>0</v>
      </c>
      <c r="DB145" s="5" t="b">
        <v>0</v>
      </c>
      <c r="DC145" s="5" t="s">
        <v>166</v>
      </c>
      <c r="DD145" s="5" t="s">
        <v>167</v>
      </c>
      <c r="DE145" s="5" t="s">
        <v>168</v>
      </c>
      <c r="DF145" s="5">
        <v>0.5</v>
      </c>
      <c r="DG145" s="5">
        <v>10</v>
      </c>
      <c r="DH145" s="5">
        <v>0.3</v>
      </c>
      <c r="DI145" s="5">
        <v>1</v>
      </c>
      <c r="DJ145" s="5">
        <v>1</v>
      </c>
      <c r="DK145" s="5" t="s">
        <v>169</v>
      </c>
      <c r="DL145" s="5" t="b">
        <v>0</v>
      </c>
      <c r="DM145" s="5">
        <v>32</v>
      </c>
      <c r="DN145" s="5">
        <v>1</v>
      </c>
      <c r="DO145" s="5" t="s">
        <v>170</v>
      </c>
      <c r="DP145" s="5" t="s">
        <v>1476</v>
      </c>
      <c r="DQ145" s="5" t="s">
        <v>171</v>
      </c>
      <c r="DR145" s="5" t="s">
        <v>172</v>
      </c>
      <c r="DS145" s="7" t="str">
        <f>_xlfn.XLOOKUP(CP145,datasetmap!B:B,datasetmap!A:A)</f>
        <v>SRS2</v>
      </c>
      <c r="DT145" s="8">
        <f t="shared" si="2"/>
        <v>1.145530112</v>
      </c>
    </row>
    <row r="146" ht="17.6" spans="1:124">
      <c r="A146" s="5" t="s">
        <v>1478</v>
      </c>
      <c r="B146" s="5">
        <v>32</v>
      </c>
      <c r="C146" s="5" t="s">
        <v>141</v>
      </c>
      <c r="D146" s="5" t="s">
        <v>1479</v>
      </c>
      <c r="E146" s="5" t="s">
        <v>1480</v>
      </c>
      <c r="F146" s="5" t="s">
        <v>1481</v>
      </c>
      <c r="G146" s="6">
        <v>1.7789162425859e+18</v>
      </c>
      <c r="H146" s="5">
        <v>0.881642928356636</v>
      </c>
      <c r="I146" s="5">
        <v>0.87674250510988</v>
      </c>
      <c r="J146" s="5">
        <v>0.373604104</v>
      </c>
      <c r="K146" s="5">
        <v>0.881642928356636</v>
      </c>
      <c r="L146" s="6">
        <v>1.77891624258582e+18</v>
      </c>
      <c r="M146" s="5">
        <v>0.877133105802047</v>
      </c>
      <c r="N146" s="6">
        <v>1.77891624365368e+18</v>
      </c>
      <c r="O146" s="6">
        <v>1.77891622699226e+18</v>
      </c>
      <c r="P146" s="5">
        <v>13.581947652</v>
      </c>
      <c r="Q146" s="5">
        <v>0.25</v>
      </c>
      <c r="R146" s="5">
        <v>6</v>
      </c>
      <c r="S146" s="5" t="s">
        <v>145</v>
      </c>
      <c r="T146" s="5" t="s">
        <v>146</v>
      </c>
      <c r="U146" s="5" t="b">
        <v>0</v>
      </c>
      <c r="V146" s="5">
        <v>25</v>
      </c>
      <c r="W146" s="5">
        <v>0</v>
      </c>
      <c r="X146" s="5">
        <v>10</v>
      </c>
      <c r="Y146" s="5">
        <v>8</v>
      </c>
      <c r="Z146" s="5" t="b">
        <v>0</v>
      </c>
      <c r="AA146" s="5">
        <v>4</v>
      </c>
      <c r="AB146" s="5" t="b">
        <v>0</v>
      </c>
      <c r="AC146" s="5" t="b">
        <v>0</v>
      </c>
      <c r="AD146" s="5" t="s">
        <v>147</v>
      </c>
      <c r="AE146" s="5" t="s">
        <v>1482</v>
      </c>
      <c r="AF146" s="5">
        <v>1</v>
      </c>
      <c r="AG146" s="5" t="b">
        <v>0</v>
      </c>
      <c r="AH146" s="5" t="b">
        <v>0</v>
      </c>
      <c r="AI146" s="5" t="s">
        <v>149</v>
      </c>
      <c r="AJ146" s="5">
        <v>3</v>
      </c>
      <c r="AK146" s="5" t="b">
        <v>0</v>
      </c>
      <c r="AL146" s="5">
        <v>2</v>
      </c>
      <c r="AM146" s="5">
        <v>0</v>
      </c>
      <c r="AN146" s="5">
        <v>0</v>
      </c>
      <c r="AO146" s="5" t="b">
        <v>0</v>
      </c>
      <c r="AP146" s="5">
        <v>0.001</v>
      </c>
      <c r="AQ146" s="5">
        <v>256</v>
      </c>
      <c r="AR146" s="5" t="b">
        <v>1</v>
      </c>
      <c r="AS146" s="5">
        <v>1</v>
      </c>
      <c r="AT146" s="5">
        <v>3</v>
      </c>
      <c r="AU146" s="5">
        <v>0.1</v>
      </c>
      <c r="AV146" s="5">
        <v>0.1</v>
      </c>
      <c r="AW146" s="5" t="b">
        <v>0</v>
      </c>
      <c r="AX146" s="5">
        <v>32</v>
      </c>
      <c r="AY146" s="5">
        <v>7</v>
      </c>
      <c r="AZ146" s="5">
        <v>1</v>
      </c>
      <c r="BA146" s="5">
        <v>16</v>
      </c>
      <c r="BB146" s="5" t="s">
        <v>211</v>
      </c>
      <c r="BC146" s="5" t="s">
        <v>151</v>
      </c>
      <c r="BD146" s="5">
        <v>10</v>
      </c>
      <c r="BE146" s="5" t="b">
        <v>0</v>
      </c>
      <c r="BF146" s="5" t="s">
        <v>152</v>
      </c>
      <c r="BG146" s="5" t="s">
        <v>1483</v>
      </c>
      <c r="BH146" s="5">
        <v>0</v>
      </c>
      <c r="BI146" s="5" t="s">
        <v>154</v>
      </c>
      <c r="BJ146" s="5">
        <v>2</v>
      </c>
      <c r="BK146" s="5"/>
      <c r="BL146" s="5" t="b">
        <v>0</v>
      </c>
      <c r="BM146" s="5">
        <v>0</v>
      </c>
      <c r="BN146" s="5">
        <v>0</v>
      </c>
      <c r="BO146" s="5" t="s">
        <v>155</v>
      </c>
      <c r="BP146" s="5">
        <v>128</v>
      </c>
      <c r="BQ146" s="5" t="s">
        <v>156</v>
      </c>
      <c r="BR146" s="5">
        <v>2</v>
      </c>
      <c r="BS146" s="5" t="s">
        <v>157</v>
      </c>
      <c r="BT146" s="5">
        <v>0</v>
      </c>
      <c r="BU146" s="5">
        <v>96</v>
      </c>
      <c r="BV146" s="5" t="b">
        <v>0</v>
      </c>
      <c r="BW146" s="5">
        <v>1000</v>
      </c>
      <c r="BX146" s="5">
        <v>0.3</v>
      </c>
      <c r="BY146" s="5" t="b">
        <v>0</v>
      </c>
      <c r="BZ146" s="5" t="s">
        <v>1484</v>
      </c>
      <c r="CA146" s="5" t="s">
        <v>13</v>
      </c>
      <c r="CB146" s="5" t="s">
        <v>1485</v>
      </c>
      <c r="CC146" s="5" t="s">
        <v>160</v>
      </c>
      <c r="CD146" s="5">
        <v>896</v>
      </c>
      <c r="CE146" s="5">
        <v>32</v>
      </c>
      <c r="CF146" s="5" t="b">
        <v>0</v>
      </c>
      <c r="CG146" s="5" t="s">
        <v>161</v>
      </c>
      <c r="CH146" s="5">
        <v>48</v>
      </c>
      <c r="CI146" s="5">
        <v>1</v>
      </c>
      <c r="CJ146" s="5">
        <v>0.25</v>
      </c>
      <c r="CK146" s="5">
        <v>7</v>
      </c>
      <c r="CL146" s="5" t="s">
        <v>1486</v>
      </c>
      <c r="CM146" s="5">
        <v>7</v>
      </c>
      <c r="CN146" s="5" t="s">
        <v>163</v>
      </c>
      <c r="CO146" s="5">
        <v>0</v>
      </c>
      <c r="CP146" s="5" t="s">
        <v>216</v>
      </c>
      <c r="CQ146" s="5" t="s">
        <v>164</v>
      </c>
      <c r="CR146" s="5" t="s">
        <v>1483</v>
      </c>
      <c r="CS146" s="5">
        <v>6</v>
      </c>
      <c r="CT146" s="5" t="b">
        <v>0</v>
      </c>
      <c r="CU146" s="5" t="s">
        <v>165</v>
      </c>
      <c r="CV146" s="5" t="b">
        <v>1</v>
      </c>
      <c r="CW146" s="5" t="b">
        <v>0</v>
      </c>
      <c r="CX146" s="5">
        <v>1</v>
      </c>
      <c r="CY146" s="5">
        <v>2</v>
      </c>
      <c r="CZ146" s="5" t="b">
        <v>0</v>
      </c>
      <c r="DA146" s="5" t="b">
        <v>0</v>
      </c>
      <c r="DB146" s="5" t="b">
        <v>0</v>
      </c>
      <c r="DC146" s="5" t="s">
        <v>166</v>
      </c>
      <c r="DD146" s="5" t="s">
        <v>167</v>
      </c>
      <c r="DE146" s="5" t="s">
        <v>168</v>
      </c>
      <c r="DF146" s="5">
        <v>0.5</v>
      </c>
      <c r="DG146" s="5">
        <v>10</v>
      </c>
      <c r="DH146" s="5">
        <v>0.3</v>
      </c>
      <c r="DI146" s="5">
        <v>1</v>
      </c>
      <c r="DJ146" s="5">
        <v>1</v>
      </c>
      <c r="DK146" s="5" t="s">
        <v>169</v>
      </c>
      <c r="DL146" s="5" t="b">
        <v>0</v>
      </c>
      <c r="DM146" s="5">
        <v>32</v>
      </c>
      <c r="DN146" s="5">
        <v>1</v>
      </c>
      <c r="DO146" s="5" t="s">
        <v>170</v>
      </c>
      <c r="DP146" s="5" t="s">
        <v>1485</v>
      </c>
      <c r="DQ146" s="5" t="s">
        <v>171</v>
      </c>
      <c r="DR146" s="5" t="s">
        <v>172</v>
      </c>
      <c r="DS146" s="7" t="str">
        <f>_xlfn.XLOOKUP(CP146,datasetmap!B:B,datasetmap!A:A)</f>
        <v>SRS1</v>
      </c>
      <c r="DT146" s="8">
        <f t="shared" si="2"/>
        <v>1.067780096</v>
      </c>
    </row>
    <row r="147" ht="17.6" spans="1:124">
      <c r="A147" s="5" t="s">
        <v>1487</v>
      </c>
      <c r="B147" s="5">
        <v>32</v>
      </c>
      <c r="C147" s="5" t="s">
        <v>141</v>
      </c>
      <c r="D147" s="5" t="s">
        <v>1488</v>
      </c>
      <c r="E147" s="5" t="s">
        <v>1489</v>
      </c>
      <c r="F147" s="5" t="s">
        <v>1490</v>
      </c>
      <c r="G147" s="6">
        <v>1.77891620663285e+18</v>
      </c>
      <c r="H147" s="5">
        <v>0.97865891626921</v>
      </c>
      <c r="I147" s="5">
        <v>0.97841627348661</v>
      </c>
      <c r="J147" s="5">
        <v>0.372745662</v>
      </c>
      <c r="K147" s="5">
        <v>0.97865891626921</v>
      </c>
      <c r="L147" s="6">
        <v>1.77891620663279e+18</v>
      </c>
      <c r="M147" s="5">
        <v>0.978378378378378</v>
      </c>
      <c r="N147" s="6">
        <v>1.77891620789281e+18</v>
      </c>
      <c r="O147" s="6">
        <v>1.7789161705706e+18</v>
      </c>
      <c r="P147" s="5">
        <v>34.23190891</v>
      </c>
      <c r="Q147" s="5">
        <v>0.25</v>
      </c>
      <c r="R147" s="5">
        <v>6</v>
      </c>
      <c r="S147" s="5" t="s">
        <v>145</v>
      </c>
      <c r="T147" s="5" t="s">
        <v>146</v>
      </c>
      <c r="U147" s="5" t="b">
        <v>0</v>
      </c>
      <c r="V147" s="5">
        <v>25</v>
      </c>
      <c r="W147" s="5">
        <v>0</v>
      </c>
      <c r="X147" s="5">
        <v>10</v>
      </c>
      <c r="Y147" s="5">
        <v>8</v>
      </c>
      <c r="Z147" s="5" t="b">
        <v>0</v>
      </c>
      <c r="AA147" s="5">
        <v>4</v>
      </c>
      <c r="AB147" s="5" t="b">
        <v>0</v>
      </c>
      <c r="AC147" s="5" t="b">
        <v>0</v>
      </c>
      <c r="AD147" s="5" t="s">
        <v>147</v>
      </c>
      <c r="AE147" s="5" t="s">
        <v>1491</v>
      </c>
      <c r="AF147" s="5">
        <v>1</v>
      </c>
      <c r="AG147" s="5" t="b">
        <v>0</v>
      </c>
      <c r="AH147" s="5" t="b">
        <v>0</v>
      </c>
      <c r="AI147" s="5" t="s">
        <v>149</v>
      </c>
      <c r="AJ147" s="5">
        <v>3</v>
      </c>
      <c r="AK147" s="5" t="b">
        <v>0</v>
      </c>
      <c r="AL147" s="5">
        <v>9</v>
      </c>
      <c r="AM147" s="5">
        <v>0</v>
      </c>
      <c r="AN147" s="5">
        <v>0</v>
      </c>
      <c r="AO147" s="5" t="b">
        <v>0</v>
      </c>
      <c r="AP147" s="5">
        <v>0.001</v>
      </c>
      <c r="AQ147" s="5">
        <v>256</v>
      </c>
      <c r="AR147" s="5" t="b">
        <v>1</v>
      </c>
      <c r="AS147" s="5">
        <v>1</v>
      </c>
      <c r="AT147" s="5">
        <v>3</v>
      </c>
      <c r="AU147" s="5">
        <v>0.1</v>
      </c>
      <c r="AV147" s="5">
        <v>0.1</v>
      </c>
      <c r="AW147" s="5" t="b">
        <v>0</v>
      </c>
      <c r="AX147" s="5">
        <v>32</v>
      </c>
      <c r="AY147" s="5">
        <v>7</v>
      </c>
      <c r="AZ147" s="5">
        <v>1</v>
      </c>
      <c r="BA147" s="5">
        <v>16</v>
      </c>
      <c r="BB147" s="5" t="s">
        <v>222</v>
      </c>
      <c r="BC147" s="5" t="s">
        <v>151</v>
      </c>
      <c r="BD147" s="5">
        <v>10</v>
      </c>
      <c r="BE147" s="5" t="b">
        <v>0</v>
      </c>
      <c r="BF147" s="5" t="s">
        <v>152</v>
      </c>
      <c r="BG147" s="5" t="s">
        <v>1492</v>
      </c>
      <c r="BH147" s="5">
        <v>0</v>
      </c>
      <c r="BI147" s="5" t="s">
        <v>154</v>
      </c>
      <c r="BJ147" s="5">
        <v>2</v>
      </c>
      <c r="BK147" s="5"/>
      <c r="BL147" s="5" t="b">
        <v>0</v>
      </c>
      <c r="BM147" s="5">
        <v>0</v>
      </c>
      <c r="BN147" s="5">
        <v>0</v>
      </c>
      <c r="BO147" s="5" t="s">
        <v>155</v>
      </c>
      <c r="BP147" s="5">
        <v>128</v>
      </c>
      <c r="BQ147" s="5" t="s">
        <v>156</v>
      </c>
      <c r="BR147" s="5">
        <v>2</v>
      </c>
      <c r="BS147" s="5" t="s">
        <v>157</v>
      </c>
      <c r="BT147" s="5">
        <v>0</v>
      </c>
      <c r="BU147" s="5">
        <v>96</v>
      </c>
      <c r="BV147" s="5" t="b">
        <v>0</v>
      </c>
      <c r="BW147" s="5">
        <v>1000</v>
      </c>
      <c r="BX147" s="5">
        <v>0.3</v>
      </c>
      <c r="BY147" s="5" t="b">
        <v>0</v>
      </c>
      <c r="BZ147" s="5" t="s">
        <v>1493</v>
      </c>
      <c r="CA147" s="5" t="s">
        <v>13</v>
      </c>
      <c r="CB147" s="5" t="s">
        <v>1494</v>
      </c>
      <c r="CC147" s="5" t="s">
        <v>160</v>
      </c>
      <c r="CD147" s="5">
        <v>29</v>
      </c>
      <c r="CE147" s="5">
        <v>32</v>
      </c>
      <c r="CF147" s="5" t="b">
        <v>0</v>
      </c>
      <c r="CG147" s="5" t="s">
        <v>161</v>
      </c>
      <c r="CH147" s="5">
        <v>48</v>
      </c>
      <c r="CI147" s="5">
        <v>1</v>
      </c>
      <c r="CJ147" s="5">
        <v>0.25</v>
      </c>
      <c r="CK147" s="5">
        <v>7</v>
      </c>
      <c r="CL147" s="5" t="s">
        <v>1495</v>
      </c>
      <c r="CM147" s="5">
        <v>7</v>
      </c>
      <c r="CN147" s="5" t="s">
        <v>163</v>
      </c>
      <c r="CO147" s="5">
        <v>0</v>
      </c>
      <c r="CP147" s="5" t="s">
        <v>227</v>
      </c>
      <c r="CQ147" s="5" t="s">
        <v>164</v>
      </c>
      <c r="CR147" s="5" t="s">
        <v>1492</v>
      </c>
      <c r="CS147" s="5">
        <v>12</v>
      </c>
      <c r="CT147" s="5" t="b">
        <v>0</v>
      </c>
      <c r="CU147" s="5" t="s">
        <v>165</v>
      </c>
      <c r="CV147" s="5" t="b">
        <v>1</v>
      </c>
      <c r="CW147" s="5" t="b">
        <v>0</v>
      </c>
      <c r="CX147" s="5">
        <v>1</v>
      </c>
      <c r="CY147" s="5">
        <v>2</v>
      </c>
      <c r="CZ147" s="5" t="b">
        <v>0</v>
      </c>
      <c r="DA147" s="5" t="b">
        <v>0</v>
      </c>
      <c r="DB147" s="5" t="b">
        <v>0</v>
      </c>
      <c r="DC147" s="5" t="s">
        <v>166</v>
      </c>
      <c r="DD147" s="5" t="s">
        <v>167</v>
      </c>
      <c r="DE147" s="5" t="s">
        <v>168</v>
      </c>
      <c r="DF147" s="5">
        <v>0.5</v>
      </c>
      <c r="DG147" s="5">
        <v>10</v>
      </c>
      <c r="DH147" s="5">
        <v>0.3</v>
      </c>
      <c r="DI147" s="5">
        <v>1</v>
      </c>
      <c r="DJ147" s="5">
        <v>1</v>
      </c>
      <c r="DK147" s="5" t="s">
        <v>169</v>
      </c>
      <c r="DL147" s="5" t="b">
        <v>0</v>
      </c>
      <c r="DM147" s="5">
        <v>32</v>
      </c>
      <c r="DN147" s="5">
        <v>1</v>
      </c>
      <c r="DO147" s="5" t="s">
        <v>170</v>
      </c>
      <c r="DP147" s="5" t="s">
        <v>1494</v>
      </c>
      <c r="DQ147" s="5" t="s">
        <v>171</v>
      </c>
      <c r="DR147" s="5" t="s">
        <v>172</v>
      </c>
      <c r="DS147" s="7" t="str">
        <f>_xlfn.XLOOKUP(CP147,datasetmap!B:B,datasetmap!A:A)</f>
        <v>JV</v>
      </c>
      <c r="DT147" s="8">
        <f t="shared" si="2"/>
        <v>1.259960064</v>
      </c>
    </row>
    <row r="148" ht="17.6" spans="1:124">
      <c r="A148" s="5" t="s">
        <v>1496</v>
      </c>
      <c r="B148" s="5">
        <v>32</v>
      </c>
      <c r="C148" s="5" t="s">
        <v>141</v>
      </c>
      <c r="D148" s="5" t="s">
        <v>1497</v>
      </c>
      <c r="E148" s="5" t="s">
        <v>1498</v>
      </c>
      <c r="F148" s="5" t="s">
        <v>1499</v>
      </c>
      <c r="G148" s="6">
        <v>1.77891615092379e+18</v>
      </c>
      <c r="H148" s="5">
        <v>0.770106778180168</v>
      </c>
      <c r="I148" s="5">
        <v>0.772698908798644</v>
      </c>
      <c r="J148" s="5">
        <v>0.388705837</v>
      </c>
      <c r="K148" s="5">
        <v>0.770106778180168</v>
      </c>
      <c r="L148" s="6">
        <v>1.77891615092372e+18</v>
      </c>
      <c r="M148" s="5">
        <v>0.780487804878048</v>
      </c>
      <c r="N148" s="6">
        <v>1.77891615409111e+18</v>
      </c>
      <c r="O148" s="6">
        <v>1.77891610245049e+18</v>
      </c>
      <c r="P148" s="5">
        <v>40.090678703</v>
      </c>
      <c r="Q148" s="5">
        <v>0.25</v>
      </c>
      <c r="R148" s="5">
        <v>6</v>
      </c>
      <c r="S148" s="5" t="s">
        <v>145</v>
      </c>
      <c r="T148" s="5" t="s">
        <v>146</v>
      </c>
      <c r="U148" s="5" t="b">
        <v>0</v>
      </c>
      <c r="V148" s="5">
        <v>25</v>
      </c>
      <c r="W148" s="5">
        <v>0</v>
      </c>
      <c r="X148" s="5">
        <v>10</v>
      </c>
      <c r="Y148" s="5">
        <v>8</v>
      </c>
      <c r="Z148" s="5" t="b">
        <v>0</v>
      </c>
      <c r="AA148" s="5">
        <v>4</v>
      </c>
      <c r="AB148" s="5" t="b">
        <v>0</v>
      </c>
      <c r="AC148" s="5" t="b">
        <v>0</v>
      </c>
      <c r="AD148" s="5" t="s">
        <v>147</v>
      </c>
      <c r="AE148" s="5" t="s">
        <v>1500</v>
      </c>
      <c r="AF148" s="5">
        <v>1</v>
      </c>
      <c r="AG148" s="5" t="b">
        <v>0</v>
      </c>
      <c r="AH148" s="5" t="b">
        <v>0</v>
      </c>
      <c r="AI148" s="5" t="s">
        <v>149</v>
      </c>
      <c r="AJ148" s="5">
        <v>3</v>
      </c>
      <c r="AK148" s="5" t="b">
        <v>0</v>
      </c>
      <c r="AL148" s="5">
        <v>2</v>
      </c>
      <c r="AM148" s="5">
        <v>0</v>
      </c>
      <c r="AN148" s="5">
        <v>0</v>
      </c>
      <c r="AO148" s="5" t="b">
        <v>0</v>
      </c>
      <c r="AP148" s="5">
        <v>0.001</v>
      </c>
      <c r="AQ148" s="5">
        <v>256</v>
      </c>
      <c r="AR148" s="5" t="b">
        <v>1</v>
      </c>
      <c r="AS148" s="5">
        <v>1</v>
      </c>
      <c r="AT148" s="5">
        <v>3</v>
      </c>
      <c r="AU148" s="5">
        <v>0.1</v>
      </c>
      <c r="AV148" s="5">
        <v>0.1</v>
      </c>
      <c r="AW148" s="5" t="b">
        <v>0</v>
      </c>
      <c r="AX148" s="5">
        <v>32</v>
      </c>
      <c r="AY148" s="5">
        <v>7</v>
      </c>
      <c r="AZ148" s="5">
        <v>1</v>
      </c>
      <c r="BA148" s="5">
        <v>16</v>
      </c>
      <c r="BB148" s="5" t="s">
        <v>233</v>
      </c>
      <c r="BC148" s="5" t="s">
        <v>151</v>
      </c>
      <c r="BD148" s="5">
        <v>10</v>
      </c>
      <c r="BE148" s="5" t="b">
        <v>0</v>
      </c>
      <c r="BF148" s="5" t="s">
        <v>152</v>
      </c>
      <c r="BG148" s="5" t="s">
        <v>1501</v>
      </c>
      <c r="BH148" s="5">
        <v>0</v>
      </c>
      <c r="BI148" s="5" t="s">
        <v>154</v>
      </c>
      <c r="BJ148" s="5">
        <v>2</v>
      </c>
      <c r="BK148" s="5"/>
      <c r="BL148" s="5" t="b">
        <v>0</v>
      </c>
      <c r="BM148" s="5">
        <v>0</v>
      </c>
      <c r="BN148" s="5">
        <v>0</v>
      </c>
      <c r="BO148" s="5" t="s">
        <v>155</v>
      </c>
      <c r="BP148" s="5">
        <v>128</v>
      </c>
      <c r="BQ148" s="5" t="s">
        <v>156</v>
      </c>
      <c r="BR148" s="5">
        <v>2</v>
      </c>
      <c r="BS148" s="5" t="s">
        <v>157</v>
      </c>
      <c r="BT148" s="5">
        <v>0</v>
      </c>
      <c r="BU148" s="5">
        <v>96</v>
      </c>
      <c r="BV148" s="5" t="b">
        <v>0</v>
      </c>
      <c r="BW148" s="5">
        <v>1000</v>
      </c>
      <c r="BX148" s="5">
        <v>0.3</v>
      </c>
      <c r="BY148" s="5" t="b">
        <v>0</v>
      </c>
      <c r="BZ148" s="5" t="s">
        <v>1502</v>
      </c>
      <c r="CA148" s="5" t="s">
        <v>13</v>
      </c>
      <c r="CB148" s="5" t="s">
        <v>1503</v>
      </c>
      <c r="CC148" s="5" t="s">
        <v>160</v>
      </c>
      <c r="CD148" s="5">
        <v>405</v>
      </c>
      <c r="CE148" s="5">
        <v>32</v>
      </c>
      <c r="CF148" s="5" t="b">
        <v>0</v>
      </c>
      <c r="CG148" s="5" t="s">
        <v>161</v>
      </c>
      <c r="CH148" s="5">
        <v>48</v>
      </c>
      <c r="CI148" s="5">
        <v>1</v>
      </c>
      <c r="CJ148" s="5">
        <v>0.25</v>
      </c>
      <c r="CK148" s="5">
        <v>7</v>
      </c>
      <c r="CL148" s="5" t="s">
        <v>1504</v>
      </c>
      <c r="CM148" s="5">
        <v>7</v>
      </c>
      <c r="CN148" s="5" t="s">
        <v>163</v>
      </c>
      <c r="CO148" s="5">
        <v>0</v>
      </c>
      <c r="CP148" s="5" t="s">
        <v>238</v>
      </c>
      <c r="CQ148" s="5" t="s">
        <v>164</v>
      </c>
      <c r="CR148" s="5" t="s">
        <v>1501</v>
      </c>
      <c r="CS148" s="5">
        <v>61</v>
      </c>
      <c r="CT148" s="5" t="b">
        <v>0</v>
      </c>
      <c r="CU148" s="5" t="s">
        <v>165</v>
      </c>
      <c r="CV148" s="5" t="b">
        <v>1</v>
      </c>
      <c r="CW148" s="5" t="b">
        <v>0</v>
      </c>
      <c r="CX148" s="5">
        <v>1</v>
      </c>
      <c r="CY148" s="5">
        <v>2</v>
      </c>
      <c r="CZ148" s="5" t="b">
        <v>0</v>
      </c>
      <c r="DA148" s="5" t="b">
        <v>0</v>
      </c>
      <c r="DB148" s="5" t="b">
        <v>0</v>
      </c>
      <c r="DC148" s="5" t="s">
        <v>166</v>
      </c>
      <c r="DD148" s="5" t="s">
        <v>167</v>
      </c>
      <c r="DE148" s="5" t="s">
        <v>168</v>
      </c>
      <c r="DF148" s="5">
        <v>0.5</v>
      </c>
      <c r="DG148" s="5">
        <v>10</v>
      </c>
      <c r="DH148" s="5">
        <v>0.3</v>
      </c>
      <c r="DI148" s="5">
        <v>1</v>
      </c>
      <c r="DJ148" s="5">
        <v>1</v>
      </c>
      <c r="DK148" s="5" t="s">
        <v>169</v>
      </c>
      <c r="DL148" s="5" t="b">
        <v>0</v>
      </c>
      <c r="DM148" s="5">
        <v>32</v>
      </c>
      <c r="DN148" s="5">
        <v>1</v>
      </c>
      <c r="DO148" s="5" t="s">
        <v>170</v>
      </c>
      <c r="DP148" s="5" t="s">
        <v>1503</v>
      </c>
      <c r="DQ148" s="5" t="s">
        <v>171</v>
      </c>
      <c r="DR148" s="5" t="s">
        <v>172</v>
      </c>
      <c r="DS148" s="7" t="str">
        <f>_xlfn.XLOOKUP(CP148,datasetmap!B:B,datasetmap!A:A)</f>
        <v>HB</v>
      </c>
      <c r="DT148" s="8">
        <f t="shared" si="2"/>
        <v>3.167319808</v>
      </c>
    </row>
    <row r="149" ht="17.6" spans="1:124">
      <c r="A149" s="5" t="s">
        <v>1505</v>
      </c>
      <c r="B149" s="5">
        <v>32</v>
      </c>
      <c r="C149" s="5" t="s">
        <v>141</v>
      </c>
      <c r="D149" s="5" t="s">
        <v>1506</v>
      </c>
      <c r="E149" s="5" t="s">
        <v>1507</v>
      </c>
      <c r="F149" s="5" t="s">
        <v>1508</v>
      </c>
      <c r="G149" s="6">
        <v>1.77891606995973e+18</v>
      </c>
      <c r="H149" s="5">
        <v>0.0562337264008328</v>
      </c>
      <c r="I149" s="5">
        <v>0.0550351203086416</v>
      </c>
      <c r="J149" s="5">
        <v>0.448325853</v>
      </c>
      <c r="K149" s="5">
        <v>0.0562337264008328</v>
      </c>
      <c r="L149" s="6">
        <v>1.77891606995966e+18</v>
      </c>
      <c r="M149" s="5">
        <v>0.110588235294117</v>
      </c>
      <c r="N149" s="6">
        <v>1.77891607126747e+18</v>
      </c>
      <c r="O149" s="6">
        <v>1.77891604965084e+18</v>
      </c>
      <c r="P149" s="5">
        <v>18.690469468</v>
      </c>
      <c r="Q149" s="5">
        <v>0.25</v>
      </c>
      <c r="R149" s="5">
        <v>6</v>
      </c>
      <c r="S149" s="5" t="s">
        <v>145</v>
      </c>
      <c r="T149" s="5" t="s">
        <v>146</v>
      </c>
      <c r="U149" s="5" t="b">
        <v>0</v>
      </c>
      <c r="V149" s="5">
        <v>25</v>
      </c>
      <c r="W149" s="5">
        <v>0</v>
      </c>
      <c r="X149" s="5">
        <v>10</v>
      </c>
      <c r="Y149" s="5">
        <v>8</v>
      </c>
      <c r="Z149" s="5" t="b">
        <v>0</v>
      </c>
      <c r="AA149" s="5">
        <v>4</v>
      </c>
      <c r="AB149" s="5" t="b">
        <v>0</v>
      </c>
      <c r="AC149" s="5" t="b">
        <v>0</v>
      </c>
      <c r="AD149" s="5" t="s">
        <v>147</v>
      </c>
      <c r="AE149" s="5" t="s">
        <v>1509</v>
      </c>
      <c r="AF149" s="5">
        <v>1</v>
      </c>
      <c r="AG149" s="5" t="b">
        <v>0</v>
      </c>
      <c r="AH149" s="5" t="b">
        <v>0</v>
      </c>
      <c r="AI149" s="5" t="s">
        <v>149</v>
      </c>
      <c r="AJ149" s="5">
        <v>3</v>
      </c>
      <c r="AK149" s="5" t="b">
        <v>0</v>
      </c>
      <c r="AL149" s="5">
        <v>26</v>
      </c>
      <c r="AM149" s="5">
        <v>0</v>
      </c>
      <c r="AN149" s="5">
        <v>0</v>
      </c>
      <c r="AO149" s="5" t="b">
        <v>0</v>
      </c>
      <c r="AP149" s="5">
        <v>0.001</v>
      </c>
      <c r="AQ149" s="5">
        <v>256</v>
      </c>
      <c r="AR149" s="5" t="b">
        <v>1</v>
      </c>
      <c r="AS149" s="5">
        <v>1</v>
      </c>
      <c r="AT149" s="5">
        <v>3</v>
      </c>
      <c r="AU149" s="5">
        <v>0.1</v>
      </c>
      <c r="AV149" s="5">
        <v>0.1</v>
      </c>
      <c r="AW149" s="5" t="b">
        <v>0</v>
      </c>
      <c r="AX149" s="5">
        <v>32</v>
      </c>
      <c r="AY149" s="5">
        <v>7</v>
      </c>
      <c r="AZ149" s="5">
        <v>1</v>
      </c>
      <c r="BA149" s="5">
        <v>16</v>
      </c>
      <c r="BB149" s="5" t="s">
        <v>244</v>
      </c>
      <c r="BC149" s="5" t="s">
        <v>151</v>
      </c>
      <c r="BD149" s="5">
        <v>10</v>
      </c>
      <c r="BE149" s="5" t="b">
        <v>0</v>
      </c>
      <c r="BF149" s="5" t="s">
        <v>152</v>
      </c>
      <c r="BG149" s="5" t="s">
        <v>1510</v>
      </c>
      <c r="BH149" s="5">
        <v>0</v>
      </c>
      <c r="BI149" s="5" t="s">
        <v>154</v>
      </c>
      <c r="BJ149" s="5">
        <v>2</v>
      </c>
      <c r="BK149" s="5"/>
      <c r="BL149" s="5" t="b">
        <v>0</v>
      </c>
      <c r="BM149" s="5">
        <v>0</v>
      </c>
      <c r="BN149" s="5">
        <v>0</v>
      </c>
      <c r="BO149" s="5" t="s">
        <v>155</v>
      </c>
      <c r="BP149" s="5">
        <v>128</v>
      </c>
      <c r="BQ149" s="5" t="s">
        <v>156</v>
      </c>
      <c r="BR149" s="5">
        <v>2</v>
      </c>
      <c r="BS149" s="5" t="s">
        <v>157</v>
      </c>
      <c r="BT149" s="5">
        <v>0</v>
      </c>
      <c r="BU149" s="5">
        <v>96</v>
      </c>
      <c r="BV149" s="5" t="b">
        <v>0</v>
      </c>
      <c r="BW149" s="5">
        <v>1000</v>
      </c>
      <c r="BX149" s="5">
        <v>0.3</v>
      </c>
      <c r="BY149" s="5" t="b">
        <v>0</v>
      </c>
      <c r="BZ149" s="5" t="s">
        <v>1511</v>
      </c>
      <c r="CA149" s="5" t="s">
        <v>13</v>
      </c>
      <c r="CB149" s="5" t="s">
        <v>1512</v>
      </c>
      <c r="CC149" s="5" t="s">
        <v>160</v>
      </c>
      <c r="CD149" s="5">
        <v>152</v>
      </c>
      <c r="CE149" s="5">
        <v>32</v>
      </c>
      <c r="CF149" s="5" t="b">
        <v>0</v>
      </c>
      <c r="CG149" s="5" t="s">
        <v>161</v>
      </c>
      <c r="CH149" s="5">
        <v>48</v>
      </c>
      <c r="CI149" s="5">
        <v>1</v>
      </c>
      <c r="CJ149" s="5">
        <v>0.25</v>
      </c>
      <c r="CK149" s="5">
        <v>7</v>
      </c>
      <c r="CL149" s="5" t="s">
        <v>1513</v>
      </c>
      <c r="CM149" s="5">
        <v>7</v>
      </c>
      <c r="CN149" s="5" t="s">
        <v>163</v>
      </c>
      <c r="CO149" s="5">
        <v>0</v>
      </c>
      <c r="CP149" s="5" t="s">
        <v>249</v>
      </c>
      <c r="CQ149" s="5" t="s">
        <v>164</v>
      </c>
      <c r="CR149" s="5" t="s">
        <v>1510</v>
      </c>
      <c r="CS149" s="5">
        <v>3</v>
      </c>
      <c r="CT149" s="5" t="b">
        <v>0</v>
      </c>
      <c r="CU149" s="5" t="s">
        <v>165</v>
      </c>
      <c r="CV149" s="5" t="b">
        <v>1</v>
      </c>
      <c r="CW149" s="5" t="b">
        <v>0</v>
      </c>
      <c r="CX149" s="5">
        <v>1</v>
      </c>
      <c r="CY149" s="5">
        <v>2</v>
      </c>
      <c r="CZ149" s="5" t="b">
        <v>0</v>
      </c>
      <c r="DA149" s="5" t="b">
        <v>0</v>
      </c>
      <c r="DB149" s="5" t="b">
        <v>0</v>
      </c>
      <c r="DC149" s="5" t="s">
        <v>166</v>
      </c>
      <c r="DD149" s="5" t="s">
        <v>167</v>
      </c>
      <c r="DE149" s="5" t="s">
        <v>168</v>
      </c>
      <c r="DF149" s="5">
        <v>0.5</v>
      </c>
      <c r="DG149" s="5">
        <v>10</v>
      </c>
      <c r="DH149" s="5">
        <v>0.3</v>
      </c>
      <c r="DI149" s="5">
        <v>1</v>
      </c>
      <c r="DJ149" s="5">
        <v>1</v>
      </c>
      <c r="DK149" s="5" t="s">
        <v>169</v>
      </c>
      <c r="DL149" s="5" t="b">
        <v>0</v>
      </c>
      <c r="DM149" s="5">
        <v>32</v>
      </c>
      <c r="DN149" s="5">
        <v>1</v>
      </c>
      <c r="DO149" s="5" t="s">
        <v>170</v>
      </c>
      <c r="DP149" s="5" t="s">
        <v>1512</v>
      </c>
      <c r="DQ149" s="5" t="s">
        <v>171</v>
      </c>
      <c r="DR149" s="5" t="s">
        <v>172</v>
      </c>
      <c r="DS149" s="7" t="str">
        <f>_xlfn.XLOOKUP(CP149,datasetmap!B:B,datasetmap!A:A)</f>
        <v>HW</v>
      </c>
      <c r="DT149" s="8">
        <f t="shared" si="2"/>
        <v>1.30774016</v>
      </c>
    </row>
    <row r="150" ht="17.6" spans="1:124">
      <c r="A150" s="5" t="s">
        <v>1514</v>
      </c>
      <c r="B150" s="5">
        <v>32</v>
      </c>
      <c r="C150" s="5" t="s">
        <v>141</v>
      </c>
      <c r="D150" s="5" t="s">
        <v>1515</v>
      </c>
      <c r="E150" s="5" t="s">
        <v>1516</v>
      </c>
      <c r="F150" s="5" t="s">
        <v>1517</v>
      </c>
      <c r="G150" s="6">
        <v>1.77891603391681e+18</v>
      </c>
      <c r="H150" s="5">
        <v>0.920014969849923</v>
      </c>
      <c r="I150" s="5">
        <v>0.915299443239554</v>
      </c>
      <c r="J150" s="5">
        <v>0.399176163</v>
      </c>
      <c r="K150" s="5">
        <v>0.920014969849923</v>
      </c>
      <c r="L150" s="6">
        <v>1.77891603391673e+18</v>
      </c>
      <c r="M150" s="5">
        <v>0.915625</v>
      </c>
      <c r="N150" s="6">
        <v>1.77891603461527e+18</v>
      </c>
      <c r="O150" s="6">
        <v>1.77891591888027e+18</v>
      </c>
      <c r="P150" s="5">
        <v>114.014448568</v>
      </c>
      <c r="Q150" s="5">
        <v>0.25</v>
      </c>
      <c r="R150" s="5">
        <v>6</v>
      </c>
      <c r="S150" s="5" t="s">
        <v>145</v>
      </c>
      <c r="T150" s="5" t="s">
        <v>146</v>
      </c>
      <c r="U150" s="5" t="b">
        <v>0</v>
      </c>
      <c r="V150" s="5">
        <v>25</v>
      </c>
      <c r="W150" s="5">
        <v>0</v>
      </c>
      <c r="X150" s="5">
        <v>10</v>
      </c>
      <c r="Y150" s="5">
        <v>8</v>
      </c>
      <c r="Z150" s="5" t="b">
        <v>0</v>
      </c>
      <c r="AA150" s="5">
        <v>4</v>
      </c>
      <c r="AB150" s="5" t="b">
        <v>0</v>
      </c>
      <c r="AC150" s="5" t="b">
        <v>0</v>
      </c>
      <c r="AD150" s="5" t="s">
        <v>147</v>
      </c>
      <c r="AE150" s="5" t="s">
        <v>1518</v>
      </c>
      <c r="AF150" s="5">
        <v>1</v>
      </c>
      <c r="AG150" s="5" t="b">
        <v>0</v>
      </c>
      <c r="AH150" s="5" t="b">
        <v>0</v>
      </c>
      <c r="AI150" s="5" t="s">
        <v>149</v>
      </c>
      <c r="AJ150" s="5">
        <v>3</v>
      </c>
      <c r="AK150" s="5" t="b">
        <v>0</v>
      </c>
      <c r="AL150" s="5">
        <v>8</v>
      </c>
      <c r="AM150" s="5">
        <v>0</v>
      </c>
      <c r="AN150" s="5">
        <v>0</v>
      </c>
      <c r="AO150" s="5" t="b">
        <v>0</v>
      </c>
      <c r="AP150" s="5">
        <v>0.001</v>
      </c>
      <c r="AQ150" s="5">
        <v>256</v>
      </c>
      <c r="AR150" s="5" t="b">
        <v>1</v>
      </c>
      <c r="AS150" s="5">
        <v>1</v>
      </c>
      <c r="AT150" s="5">
        <v>3</v>
      </c>
      <c r="AU150" s="5">
        <v>0.1</v>
      </c>
      <c r="AV150" s="5">
        <v>0.1</v>
      </c>
      <c r="AW150" s="5" t="b">
        <v>0</v>
      </c>
      <c r="AX150" s="5">
        <v>32</v>
      </c>
      <c r="AY150" s="5">
        <v>7</v>
      </c>
      <c r="AZ150" s="5">
        <v>1</v>
      </c>
      <c r="BA150" s="5">
        <v>16</v>
      </c>
      <c r="BB150" s="5" t="s">
        <v>275</v>
      </c>
      <c r="BC150" s="5" t="s">
        <v>151</v>
      </c>
      <c r="BD150" s="5">
        <v>10</v>
      </c>
      <c r="BE150" s="5" t="b">
        <v>0</v>
      </c>
      <c r="BF150" s="5" t="s">
        <v>152</v>
      </c>
      <c r="BG150" s="5" t="s">
        <v>1519</v>
      </c>
      <c r="BH150" s="5">
        <v>0</v>
      </c>
      <c r="BI150" s="5" t="s">
        <v>154</v>
      </c>
      <c r="BJ150" s="5">
        <v>2</v>
      </c>
      <c r="BK150" s="5"/>
      <c r="BL150" s="5" t="b">
        <v>0</v>
      </c>
      <c r="BM150" s="5">
        <v>0</v>
      </c>
      <c r="BN150" s="5">
        <v>0</v>
      </c>
      <c r="BO150" s="5" t="s">
        <v>155</v>
      </c>
      <c r="BP150" s="5">
        <v>128</v>
      </c>
      <c r="BQ150" s="5" t="s">
        <v>156</v>
      </c>
      <c r="BR150" s="5">
        <v>2</v>
      </c>
      <c r="BS150" s="5" t="s">
        <v>157</v>
      </c>
      <c r="BT150" s="5">
        <v>0</v>
      </c>
      <c r="BU150" s="5">
        <v>96</v>
      </c>
      <c r="BV150" s="5" t="b">
        <v>0</v>
      </c>
      <c r="BW150" s="5">
        <v>1000</v>
      </c>
      <c r="BX150" s="5">
        <v>0.3</v>
      </c>
      <c r="BY150" s="5" t="b">
        <v>0</v>
      </c>
      <c r="BZ150" s="5" t="s">
        <v>1520</v>
      </c>
      <c r="CA150" s="5" t="s">
        <v>13</v>
      </c>
      <c r="CB150" s="5" t="s">
        <v>1521</v>
      </c>
      <c r="CC150" s="5" t="s">
        <v>160</v>
      </c>
      <c r="CD150" s="5">
        <v>315</v>
      </c>
      <c r="CE150" s="5">
        <v>32</v>
      </c>
      <c r="CF150" s="5" t="b">
        <v>0</v>
      </c>
      <c r="CG150" s="5" t="s">
        <v>161</v>
      </c>
      <c r="CH150" s="5">
        <v>48</v>
      </c>
      <c r="CI150" s="5">
        <v>1</v>
      </c>
      <c r="CJ150" s="5">
        <v>0.25</v>
      </c>
      <c r="CK150" s="5">
        <v>7</v>
      </c>
      <c r="CL150" s="5" t="s">
        <v>1522</v>
      </c>
      <c r="CM150" s="5">
        <v>7</v>
      </c>
      <c r="CN150" s="5" t="s">
        <v>163</v>
      </c>
      <c r="CO150" s="5">
        <v>0</v>
      </c>
      <c r="CP150" s="5" t="s">
        <v>280</v>
      </c>
      <c r="CQ150" s="5" t="s">
        <v>164</v>
      </c>
      <c r="CR150" s="5" t="s">
        <v>1519</v>
      </c>
      <c r="CS150" s="5">
        <v>3</v>
      </c>
      <c r="CT150" s="5" t="b">
        <v>0</v>
      </c>
      <c r="CU150" s="5" t="s">
        <v>165</v>
      </c>
      <c r="CV150" s="5" t="b">
        <v>1</v>
      </c>
      <c r="CW150" s="5" t="b">
        <v>0</v>
      </c>
      <c r="CX150" s="5">
        <v>1</v>
      </c>
      <c r="CY150" s="5">
        <v>2</v>
      </c>
      <c r="CZ150" s="5" t="b">
        <v>0</v>
      </c>
      <c r="DA150" s="5" t="b">
        <v>0</v>
      </c>
      <c r="DB150" s="5" t="b">
        <v>0</v>
      </c>
      <c r="DC150" s="5" t="s">
        <v>166</v>
      </c>
      <c r="DD150" s="5" t="s">
        <v>167</v>
      </c>
      <c r="DE150" s="5" t="s">
        <v>168</v>
      </c>
      <c r="DF150" s="5">
        <v>0.5</v>
      </c>
      <c r="DG150" s="5">
        <v>10</v>
      </c>
      <c r="DH150" s="5">
        <v>0.3</v>
      </c>
      <c r="DI150" s="5">
        <v>1</v>
      </c>
      <c r="DJ150" s="5">
        <v>1</v>
      </c>
      <c r="DK150" s="5" t="s">
        <v>169</v>
      </c>
      <c r="DL150" s="5" t="b">
        <v>0</v>
      </c>
      <c r="DM150" s="5">
        <v>32</v>
      </c>
      <c r="DN150" s="5">
        <v>1</v>
      </c>
      <c r="DO150" s="5" t="s">
        <v>170</v>
      </c>
      <c r="DP150" s="5" t="s">
        <v>1521</v>
      </c>
      <c r="DQ150" s="5" t="s">
        <v>171</v>
      </c>
      <c r="DR150" s="5" t="s">
        <v>172</v>
      </c>
      <c r="DS150" s="7" t="str">
        <f>_xlfn.XLOOKUP(CP150,datasetmap!B:B,datasetmap!A:A)</f>
        <v>UWG</v>
      </c>
      <c r="DT150" s="8">
        <f t="shared" si="2"/>
        <v>0.698459904</v>
      </c>
    </row>
    <row r="151" ht="17.6" spans="1:124">
      <c r="A151" s="5" t="s">
        <v>1523</v>
      </c>
      <c r="B151" s="5">
        <v>32</v>
      </c>
      <c r="C151" s="5" t="s">
        <v>141</v>
      </c>
      <c r="D151" s="5" t="s">
        <v>1524</v>
      </c>
      <c r="E151" s="5" t="s">
        <v>1525</v>
      </c>
      <c r="F151" s="5" t="s">
        <v>1526</v>
      </c>
      <c r="G151" s="6">
        <v>1.77891597713522e+18</v>
      </c>
      <c r="H151" s="5">
        <v>0.298522492490928</v>
      </c>
      <c r="I151" s="5">
        <v>0.247966927361383</v>
      </c>
      <c r="J151" s="5">
        <v>0.915587685</v>
      </c>
      <c r="K151" s="5">
        <v>0.298522492490928</v>
      </c>
      <c r="L151" s="6">
        <v>1.77891597713514e+18</v>
      </c>
      <c r="M151" s="5">
        <v>0.288973384030418</v>
      </c>
      <c r="N151" s="6">
        <v>1.77891597864425e+18</v>
      </c>
      <c r="O151" s="6">
        <v>1.77891591918445e+18</v>
      </c>
      <c r="P151" s="5">
        <v>56.223444522</v>
      </c>
      <c r="Q151" s="5">
        <v>0.25</v>
      </c>
      <c r="R151" s="5">
        <v>6</v>
      </c>
      <c r="S151" s="5" t="s">
        <v>145</v>
      </c>
      <c r="T151" s="5" t="s">
        <v>146</v>
      </c>
      <c r="U151" s="5" t="b">
        <v>0</v>
      </c>
      <c r="V151" s="5">
        <v>25</v>
      </c>
      <c r="W151" s="5">
        <v>0</v>
      </c>
      <c r="X151" s="5">
        <v>10</v>
      </c>
      <c r="Y151" s="5">
        <v>8</v>
      </c>
      <c r="Z151" s="5" t="b">
        <v>0</v>
      </c>
      <c r="AA151" s="5">
        <v>4</v>
      </c>
      <c r="AB151" s="5" t="b">
        <v>0</v>
      </c>
      <c r="AC151" s="5" t="b">
        <v>0</v>
      </c>
      <c r="AD151" s="5" t="s">
        <v>147</v>
      </c>
      <c r="AE151" s="5" t="s">
        <v>1527</v>
      </c>
      <c r="AF151" s="5">
        <v>1</v>
      </c>
      <c r="AG151" s="5" t="b">
        <v>0</v>
      </c>
      <c r="AH151" s="5" t="b">
        <v>0</v>
      </c>
      <c r="AI151" s="5" t="s">
        <v>149</v>
      </c>
      <c r="AJ151" s="5">
        <v>3</v>
      </c>
      <c r="AK151" s="5" t="b">
        <v>0</v>
      </c>
      <c r="AL151" s="5">
        <v>4</v>
      </c>
      <c r="AM151" s="5">
        <v>0</v>
      </c>
      <c r="AN151" s="5">
        <v>0</v>
      </c>
      <c r="AO151" s="5" t="b">
        <v>0</v>
      </c>
      <c r="AP151" s="5">
        <v>0.001</v>
      </c>
      <c r="AQ151" s="5">
        <v>256</v>
      </c>
      <c r="AR151" s="5" t="b">
        <v>1</v>
      </c>
      <c r="AS151" s="5">
        <v>1</v>
      </c>
      <c r="AT151" s="5">
        <v>3</v>
      </c>
      <c r="AU151" s="5">
        <v>0.1</v>
      </c>
      <c r="AV151" s="5">
        <v>0.1</v>
      </c>
      <c r="AW151" s="5" t="b">
        <v>0</v>
      </c>
      <c r="AX151" s="5">
        <v>32</v>
      </c>
      <c r="AY151" s="5">
        <v>7</v>
      </c>
      <c r="AZ151" s="5">
        <v>1</v>
      </c>
      <c r="BA151" s="5">
        <v>16</v>
      </c>
      <c r="BB151" s="5" t="s">
        <v>264</v>
      </c>
      <c r="BC151" s="5" t="s">
        <v>151</v>
      </c>
      <c r="BD151" s="5">
        <v>10</v>
      </c>
      <c r="BE151" s="5" t="b">
        <v>0</v>
      </c>
      <c r="BF151" s="5" t="s">
        <v>152</v>
      </c>
      <c r="BG151" s="5" t="s">
        <v>1528</v>
      </c>
      <c r="BH151" s="5">
        <v>0</v>
      </c>
      <c r="BI151" s="5" t="s">
        <v>154</v>
      </c>
      <c r="BJ151" s="5">
        <v>2</v>
      </c>
      <c r="BK151" s="5"/>
      <c r="BL151" s="5" t="b">
        <v>0</v>
      </c>
      <c r="BM151" s="5">
        <v>0</v>
      </c>
      <c r="BN151" s="5">
        <v>0</v>
      </c>
      <c r="BO151" s="5" t="s">
        <v>155</v>
      </c>
      <c r="BP151" s="5">
        <v>128</v>
      </c>
      <c r="BQ151" s="5" t="s">
        <v>156</v>
      </c>
      <c r="BR151" s="5">
        <v>2</v>
      </c>
      <c r="BS151" s="5" t="s">
        <v>157</v>
      </c>
      <c r="BT151" s="5">
        <v>0</v>
      </c>
      <c r="BU151" s="5">
        <v>96</v>
      </c>
      <c r="BV151" s="5" t="b">
        <v>0</v>
      </c>
      <c r="BW151" s="5">
        <v>1000</v>
      </c>
      <c r="BX151" s="5">
        <v>0.3</v>
      </c>
      <c r="BY151" s="5" t="b">
        <v>0</v>
      </c>
      <c r="BZ151" s="5" t="s">
        <v>1529</v>
      </c>
      <c r="CA151" s="5" t="s">
        <v>13</v>
      </c>
      <c r="CB151" s="5" t="s">
        <v>1530</v>
      </c>
      <c r="CC151" s="5" t="s">
        <v>160</v>
      </c>
      <c r="CD151" s="5">
        <v>1751</v>
      </c>
      <c r="CE151" s="5">
        <v>32</v>
      </c>
      <c r="CF151" s="5" t="b">
        <v>0</v>
      </c>
      <c r="CG151" s="5" t="s">
        <v>161</v>
      </c>
      <c r="CH151" s="5">
        <v>48</v>
      </c>
      <c r="CI151" s="5">
        <v>1</v>
      </c>
      <c r="CJ151" s="5">
        <v>0.25</v>
      </c>
      <c r="CK151" s="5">
        <v>7</v>
      </c>
      <c r="CL151" s="5" t="s">
        <v>1531</v>
      </c>
      <c r="CM151" s="5">
        <v>7</v>
      </c>
      <c r="CN151" s="5" t="s">
        <v>163</v>
      </c>
      <c r="CO151" s="5">
        <v>0</v>
      </c>
      <c r="CP151" s="5" t="s">
        <v>269</v>
      </c>
      <c r="CQ151" s="5" t="s">
        <v>164</v>
      </c>
      <c r="CR151" s="5" t="s">
        <v>1528</v>
      </c>
      <c r="CS151" s="5">
        <v>3</v>
      </c>
      <c r="CT151" s="5" t="b">
        <v>0</v>
      </c>
      <c r="CU151" s="5" t="s">
        <v>165</v>
      </c>
      <c r="CV151" s="5" t="b">
        <v>1</v>
      </c>
      <c r="CW151" s="5" t="b">
        <v>0</v>
      </c>
      <c r="CX151" s="5">
        <v>1</v>
      </c>
      <c r="CY151" s="5">
        <v>2</v>
      </c>
      <c r="CZ151" s="5" t="b">
        <v>0</v>
      </c>
      <c r="DA151" s="5" t="b">
        <v>0</v>
      </c>
      <c r="DB151" s="5" t="b">
        <v>0</v>
      </c>
      <c r="DC151" s="5" t="s">
        <v>166</v>
      </c>
      <c r="DD151" s="5" t="s">
        <v>167</v>
      </c>
      <c r="DE151" s="5" t="s">
        <v>168</v>
      </c>
      <c r="DF151" s="5">
        <v>0.5</v>
      </c>
      <c r="DG151" s="5">
        <v>10</v>
      </c>
      <c r="DH151" s="5">
        <v>0.3</v>
      </c>
      <c r="DI151" s="5">
        <v>1</v>
      </c>
      <c r="DJ151" s="5">
        <v>1</v>
      </c>
      <c r="DK151" s="5" t="s">
        <v>169</v>
      </c>
      <c r="DL151" s="5" t="b">
        <v>0</v>
      </c>
      <c r="DM151" s="5">
        <v>32</v>
      </c>
      <c r="DN151" s="5">
        <v>1</v>
      </c>
      <c r="DO151" s="5" t="s">
        <v>170</v>
      </c>
      <c r="DP151" s="5" t="s">
        <v>1530</v>
      </c>
      <c r="DQ151" s="5" t="s">
        <v>171</v>
      </c>
      <c r="DR151" s="5" t="s">
        <v>172</v>
      </c>
      <c r="DS151" s="7" t="str">
        <f>_xlfn.XLOOKUP(CP151,datasetmap!B:B,datasetmap!A:A)</f>
        <v>EC</v>
      </c>
      <c r="DT151" s="8">
        <f t="shared" si="2"/>
        <v>1.509030144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zoomScale="175" zoomScaleNormal="175" workbookViewId="0">
      <selection activeCell="A1" sqref="A1:C11"/>
    </sheetView>
  </sheetViews>
  <sheetFormatPr defaultColWidth="11" defaultRowHeight="16.8" outlineLevelCol="5"/>
  <cols>
    <col min="2" max="2" width="28.6634615384615" customWidth="1"/>
    <col min="4" max="4" width="28.8365384615385" customWidth="1"/>
    <col min="5" max="5" width="33.3365384615385" customWidth="1"/>
  </cols>
  <sheetData>
    <row r="1" spans="1:6">
      <c r="A1" s="1" t="s">
        <v>1532</v>
      </c>
      <c r="B1" s="1" t="s">
        <v>1533</v>
      </c>
      <c r="C1" s="1"/>
      <c r="D1" s="2"/>
      <c r="E1" s="2"/>
      <c r="F1" s="2"/>
    </row>
    <row r="2" spans="1:6">
      <c r="A2" s="1" t="s">
        <v>12</v>
      </c>
      <c r="B2" s="1" t="s">
        <v>280</v>
      </c>
      <c r="C2" s="1"/>
      <c r="D2" s="3"/>
      <c r="E2" s="3"/>
      <c r="F2" s="3"/>
    </row>
    <row r="3" spans="1:6">
      <c r="A3" s="1" t="s">
        <v>3</v>
      </c>
      <c r="B3" s="1" t="s">
        <v>269</v>
      </c>
      <c r="C3" s="1"/>
      <c r="D3" s="3"/>
      <c r="E3" s="3"/>
      <c r="F3" s="3"/>
    </row>
    <row r="4" spans="1:6">
      <c r="A4" s="1" t="s">
        <v>4</v>
      </c>
      <c r="B4" s="1" t="s">
        <v>194</v>
      </c>
      <c r="C4" s="1"/>
      <c r="D4" s="3"/>
      <c r="E4" s="3"/>
      <c r="F4" s="3"/>
    </row>
    <row r="5" spans="1:6">
      <c r="A5" s="1" t="s">
        <v>6</v>
      </c>
      <c r="B5" s="1" t="s">
        <v>249</v>
      </c>
      <c r="C5" s="1"/>
      <c r="D5" s="3"/>
      <c r="E5" s="3"/>
      <c r="F5" s="3"/>
    </row>
    <row r="6" spans="1:6">
      <c r="A6" s="1" t="s">
        <v>5</v>
      </c>
      <c r="B6" s="1" t="s">
        <v>238</v>
      </c>
      <c r="C6" s="1"/>
      <c r="D6" s="3"/>
      <c r="E6" s="3"/>
      <c r="F6" s="3"/>
    </row>
    <row r="7" spans="1:6">
      <c r="A7" s="1" t="s">
        <v>7</v>
      </c>
      <c r="B7" s="1" t="s">
        <v>227</v>
      </c>
      <c r="C7" s="1"/>
      <c r="D7" s="3"/>
      <c r="E7" s="3"/>
      <c r="F7" s="3"/>
    </row>
    <row r="8" spans="1:6">
      <c r="A8" s="1" t="s">
        <v>8</v>
      </c>
      <c r="B8" s="1" t="s">
        <v>8</v>
      </c>
      <c r="C8" s="1"/>
      <c r="D8" s="3"/>
      <c r="E8" s="3"/>
      <c r="F8" s="3"/>
    </row>
    <row r="9" spans="1:6">
      <c r="A9" s="1" t="s">
        <v>10</v>
      </c>
      <c r="B9" s="1" t="s">
        <v>216</v>
      </c>
      <c r="C9" s="1"/>
      <c r="D9" s="3"/>
      <c r="E9" s="3"/>
      <c r="F9" s="3"/>
    </row>
    <row r="10" spans="1:6">
      <c r="A10" s="1" t="s">
        <v>11</v>
      </c>
      <c r="B10" s="1" t="s">
        <v>205</v>
      </c>
      <c r="C10" s="1"/>
      <c r="D10" s="3"/>
      <c r="E10" s="3"/>
      <c r="F10" s="3"/>
    </row>
    <row r="11" spans="1:6">
      <c r="A11" s="1" t="s">
        <v>9</v>
      </c>
      <c r="B11" s="1" t="s">
        <v>183</v>
      </c>
      <c r="C11" s="1"/>
      <c r="D11" s="3"/>
      <c r="E11" s="3"/>
      <c r="F11" s="3"/>
    </row>
    <row r="12" spans="1:6">
      <c r="A12" s="4"/>
      <c r="B12" s="3"/>
      <c r="C12" s="3"/>
      <c r="D12" s="3"/>
      <c r="E12" s="3"/>
      <c r="F12" s="3"/>
    </row>
    <row r="13" spans="1:6">
      <c r="A13" s="4"/>
      <c r="B13" s="3"/>
      <c r="C13" s="3"/>
      <c r="D13" s="3"/>
      <c r="E13" s="3"/>
      <c r="F13" s="3"/>
    </row>
    <row r="14" spans="1:6">
      <c r="A14" s="4"/>
      <c r="B14" s="3"/>
      <c r="C14" s="3"/>
      <c r="D14" s="3"/>
      <c r="E14" s="3"/>
      <c r="F14" s="3"/>
    </row>
    <row r="15" spans="1:6">
      <c r="A15" s="4"/>
      <c r="B15" s="3"/>
      <c r="C15" s="3"/>
      <c r="D15" s="3"/>
      <c r="E15" s="3"/>
      <c r="F15" s="3"/>
    </row>
    <row r="16" spans="1:6">
      <c r="A16" s="4"/>
      <c r="B16" s="3"/>
      <c r="C16" s="3"/>
      <c r="D16" s="3"/>
      <c r="E16" s="3"/>
      <c r="F16" s="3"/>
    </row>
    <row r="17" spans="1:6">
      <c r="A17" s="4"/>
      <c r="B17" s="3"/>
      <c r="C17" s="3"/>
      <c r="D17" s="3"/>
      <c r="E17" s="3"/>
      <c r="F17" s="3"/>
    </row>
    <row r="18" spans="1:6">
      <c r="A18" s="4"/>
      <c r="B18" s="3"/>
      <c r="C18" s="3"/>
      <c r="D18" s="3"/>
      <c r="E18" s="3"/>
      <c r="F18" s="3"/>
    </row>
    <row r="19" spans="1:6">
      <c r="A19" s="4"/>
      <c r="B19" s="3"/>
      <c r="C19" s="3"/>
      <c r="D19" s="3"/>
      <c r="E19" s="3"/>
      <c r="F19" s="3"/>
    </row>
    <row r="20" spans="1:6">
      <c r="A20" s="4"/>
      <c r="B20" s="3"/>
      <c r="C20" s="3"/>
      <c r="D20" s="3"/>
      <c r="E20" s="3"/>
      <c r="F20" s="3"/>
    </row>
    <row r="21" spans="1:6">
      <c r="A21" s="4"/>
      <c r="B21" s="3"/>
      <c r="C21" s="3"/>
      <c r="D21" s="3"/>
      <c r="E21" s="3"/>
      <c r="F21" s="3"/>
    </row>
    <row r="22" spans="1:6">
      <c r="A22" s="4"/>
      <c r="B22" s="3"/>
      <c r="C22" s="3"/>
      <c r="D22" s="3"/>
      <c r="E22" s="3"/>
      <c r="F22" s="3"/>
    </row>
    <row r="23" spans="1:6">
      <c r="A23" s="4"/>
      <c r="B23" s="3"/>
      <c r="C23" s="3"/>
      <c r="D23" s="3"/>
      <c r="E23" s="3"/>
      <c r="F23" s="3"/>
    </row>
    <row r="24" spans="1:6">
      <c r="A24" s="4"/>
      <c r="B24" s="3"/>
      <c r="C24" s="3"/>
      <c r="D24" s="3"/>
      <c r="E24" s="3"/>
      <c r="F24" s="3"/>
    </row>
    <row r="25" spans="1:6">
      <c r="A25" s="4"/>
      <c r="B25" s="3"/>
      <c r="C25" s="3"/>
      <c r="D25" s="3"/>
      <c r="E25" s="3"/>
      <c r="F25" s="3"/>
    </row>
    <row r="26" spans="1:6">
      <c r="A26" s="4"/>
      <c r="B26" s="3"/>
      <c r="C26" s="3"/>
      <c r="D26" s="3"/>
      <c r="E26" s="3"/>
      <c r="F26" s="3"/>
    </row>
    <row r="27" spans="1:6">
      <c r="A27" s="4"/>
      <c r="B27" s="3"/>
      <c r="C27" s="3"/>
      <c r="D27" s="3"/>
      <c r="E27" s="3"/>
      <c r="F27" s="3"/>
    </row>
    <row r="28" spans="1:6">
      <c r="A28" s="4"/>
      <c r="B28" s="3"/>
      <c r="C28" s="3"/>
      <c r="D28" s="3"/>
      <c r="E28" s="3"/>
      <c r="F28" s="3"/>
    </row>
    <row r="29" spans="1:6">
      <c r="A29" s="4"/>
      <c r="B29" s="3"/>
      <c r="C29" s="3"/>
      <c r="D29" s="3"/>
      <c r="E29" s="3"/>
      <c r="F29" s="3"/>
    </row>
    <row r="30" spans="1:6">
      <c r="A30" s="4"/>
      <c r="B30" s="3"/>
      <c r="C30" s="3"/>
      <c r="D30" s="3"/>
      <c r="E30" s="3"/>
      <c r="F30" s="3"/>
    </row>
    <row r="31" spans="1:6">
      <c r="A31" s="4"/>
      <c r="B31" s="3"/>
      <c r="C31" s="3"/>
      <c r="D31" s="3"/>
      <c r="E31" s="3"/>
      <c r="F31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EvalTime</vt:lpstr>
      <vt:lpstr>mlflow-data</vt:lpstr>
      <vt:lpstr>datasetmap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sunwu</dc:creator>
  <cp:lastModifiedBy>孙武</cp:lastModifiedBy>
  <dcterms:created xsi:type="dcterms:W3CDTF">2026-06-16T10:45:00Z</dcterms:created>
  <dcterms:modified xsi:type="dcterms:W3CDTF">2026-06-17T01:09:26Z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BF256BBEC6213DE02F672F6AF632D0EE_41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1</vt:i4>
  </property>
</Properties>
</file>