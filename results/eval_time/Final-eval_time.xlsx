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"/>
    </mc:Choice>
  </mc:AlternateContent>
  <xr:revisionPtr revIDLastSave="0" documentId="13_ncr:1_{8BE9F2EB-C619-AB4C-ADD8-3AB7206D437E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/>
  <c r="M4" i="2"/>
  <c r="M5" i="2"/>
  <c r="M6" i="2"/>
  <c r="M7" i="2"/>
  <c r="N7" i="2" s="1"/>
  <c r="M8" i="2"/>
  <c r="N8" i="2" s="1"/>
  <c r="M9" i="2"/>
  <c r="M10" i="2"/>
  <c r="N10" i="2" s="1"/>
  <c r="M11" i="2"/>
  <c r="N11" i="2" s="1"/>
  <c r="M12" i="2"/>
  <c r="M3" i="2"/>
  <c r="C24" i="2"/>
  <c r="L12" i="2"/>
  <c r="L4" i="2"/>
  <c r="L5" i="2"/>
  <c r="L6" i="2"/>
  <c r="L7" i="2"/>
  <c r="L8" i="2"/>
  <c r="L9" i="2"/>
  <c r="L10" i="2"/>
  <c r="L11" i="2"/>
  <c r="L3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D24" i="2"/>
  <c r="E24" i="2"/>
  <c r="F24" i="2"/>
  <c r="G24" i="2"/>
  <c r="H24" i="2"/>
  <c r="I24" i="2"/>
  <c r="J24" i="2"/>
  <c r="K24" i="2"/>
  <c r="C15" i="2"/>
  <c r="D15" i="2"/>
  <c r="E15" i="2"/>
  <c r="F15" i="2"/>
  <c r="G15" i="2"/>
  <c r="H15" i="2"/>
  <c r="I15" i="2"/>
  <c r="J15" i="2"/>
  <c r="K15" i="2"/>
  <c r="B15" i="2"/>
  <c r="N4" i="2" l="1"/>
  <c r="N3" i="2"/>
  <c r="N9" i="2"/>
  <c r="N6" i="2"/>
  <c r="N5" i="2"/>
</calcChain>
</file>

<file path=xl/sharedStrings.xml><?xml version="1.0" encoding="utf-8"?>
<sst xmlns="http://schemas.openxmlformats.org/spreadsheetml/2006/main" count="36" uniqueCount="26">
  <si>
    <t>平均值项:test_elapsed_seconds</t>
  </si>
  <si>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</si>
  <si>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</si>
  <si>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</si>
  <si>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</si>
  <si>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</si>
  <si>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</si>
  <si>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</si>
  <si>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</si>
  <si>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</si>
  <si>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</si>
  <si>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</si>
  <si>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</si>
  <si>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Ours</t>
  </si>
  <si>
    <t>MambaSL</t>
  </si>
  <si>
    <t>PatchTST</t>
  </si>
  <si>
    <t>TimesNet</t>
  </si>
  <si>
    <t>ConvTimeNet</t>
  </si>
  <si>
    <t>FormerTime</t>
  </si>
  <si>
    <t>InceptionTime</t>
  </si>
  <si>
    <t>IndividualTDE</t>
  </si>
  <si>
    <t>KNeighborsTimeSeries</t>
  </si>
  <si>
    <t>ResNet</t>
  </si>
  <si>
    <t>Rank</t>
    <phoneticPr fontId="2" type="noConversion"/>
  </si>
  <si>
    <t>AR</t>
    <phoneticPr fontId="2" type="noConversion"/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</si>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</sst>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_ * #,##0.00_ ;_ * \-#,##0.00_ ;_ * &quot;-&quot;??.0_ ;_ @_ "/>
    <numFmt numFmtId="181" formatCode="0.00_);[Red]\(0.00\)"/>
  </numFmts>
  <fonts count="5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81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81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181" fontId="4" fillId="0" borderId="0" xfId="0" applyNumberFormat="1" applyFont="1" applyAlignment="1">
      <alignment horizontal="left" vertical="center"/>
    </xf>
    <xf numFmtId="181" fontId="4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7" zoomScale="150" zoomScaleNormal="135" workbookViewId="0">
      <selection activeCell="M17" sqref="M17"/>
    </sheetView>
  </sheetViews>
  <sheetFormatPr baseColWidth="10" defaultColWidth="11" defaultRowHeight="16"/>
  <cols>
    <col min="1" max="1" width="29.33203125" customWidth="1"/>
    <col min="2" max="2" width="7.5" customWidth="1"/>
    <col min="3" max="3" width="11" customWidth="1"/>
    <col min="4" max="4" width="8" customWidth="1"/>
    <col min="5" max="5" width="7" customWidth="1"/>
    <col min="6" max="6" width="7.6640625" customWidth="1"/>
    <col min="7" max="7" width="9.1640625" customWidth="1"/>
    <col min="8" max="8" width="8.1640625" customWidth="1"/>
    <col min="9" max="11" width="7" customWidth="1"/>
    <col min="12" max="12" width="15" customWidth="1"/>
  </cols>
  <sheetData>
    <row r="1" spans="1:14">
      <c r="A1" t="s">
        <v>0</v>
      </c>
      <c r="B1" t="s">
        <v>1</v>
      </c>
    </row>
    <row r="2" spans="1:1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24</v>
      </c>
      <c r="M2" s="2" t="s">
        <v>25</v>
      </c>
    </row>
    <row r="3" spans="1:14">
      <c r="A3" s="6" t="s">
        <v>14</v>
      </c>
      <c r="B3" s="7">
        <v>1.46</v>
      </c>
      <c r="C3" s="7">
        <v>67.53</v>
      </c>
      <c r="D3" s="7">
        <v>3.26</v>
      </c>
      <c r="E3" s="7">
        <v>1.34</v>
      </c>
      <c r="F3" s="7">
        <v>1.25</v>
      </c>
      <c r="G3" s="7">
        <v>27.57</v>
      </c>
      <c r="H3" s="7">
        <v>5.0199999999999996</v>
      </c>
      <c r="I3" s="7">
        <v>1.1000000000000001</v>
      </c>
      <c r="J3" s="7">
        <v>1.22</v>
      </c>
      <c r="K3" s="7">
        <v>0.7</v>
      </c>
      <c r="L3" s="8">
        <f>SUM(B15:K15)/10</f>
        <v>3.6</v>
      </c>
      <c r="M3" s="1">
        <f>MEDIAN(B3:K3)</f>
        <v>1.4</v>
      </c>
      <c r="N3">
        <f>RANK(M3,M$3:M$12)</f>
        <v>3</v>
      </c>
    </row>
    <row r="4" spans="1:14">
      <c r="A4" s="6" t="s">
        <v>15</v>
      </c>
      <c r="B4" s="7">
        <v>1.75</v>
      </c>
      <c r="C4" s="7">
        <v>81.23</v>
      </c>
      <c r="D4" s="7">
        <v>3.96</v>
      </c>
      <c r="E4" s="7">
        <v>1.3</v>
      </c>
      <c r="F4" s="7">
        <v>1.1399999999999999</v>
      </c>
      <c r="G4" s="7">
        <v>33.57</v>
      </c>
      <c r="H4" s="7">
        <v>6.12</v>
      </c>
      <c r="I4" s="7">
        <v>1.3</v>
      </c>
      <c r="J4" s="7">
        <v>1.47</v>
      </c>
      <c r="K4" s="7">
        <v>1.28</v>
      </c>
      <c r="L4" s="8">
        <f t="shared" ref="L4:L12" si="0">SUM(B16:K16)/10</f>
        <v>2.9</v>
      </c>
      <c r="M4" s="1">
        <f t="shared" ref="M4:M12" si="1">MEDIAN(B4:K4)</f>
        <v>1.6099999999999999</v>
      </c>
      <c r="N4">
        <f t="shared" ref="N4:N12" si="2">RANK(M4,M$3:M$12)</f>
        <v>2</v>
      </c>
    </row>
    <row r="5" spans="1:14">
      <c r="A5" s="6" t="s">
        <v>16</v>
      </c>
      <c r="B5" s="7">
        <v>8.6199999999999992</v>
      </c>
      <c r="C5" s="7">
        <v>276.27</v>
      </c>
      <c r="D5" s="7">
        <v>18.02</v>
      </c>
      <c r="E5" s="7">
        <v>14.03</v>
      </c>
      <c r="F5" s="7">
        <v>8.98</v>
      </c>
      <c r="G5" s="7">
        <v>47.1</v>
      </c>
      <c r="H5" s="7">
        <v>17.07</v>
      </c>
      <c r="I5" s="7">
        <v>11.91</v>
      </c>
      <c r="J5" s="7">
        <v>6.78</v>
      </c>
      <c r="K5" s="7">
        <v>4.41</v>
      </c>
      <c r="L5" s="8">
        <f t="shared" si="0"/>
        <v>1.7</v>
      </c>
      <c r="M5" s="1">
        <f t="shared" si="1"/>
        <v>12.969999999999999</v>
      </c>
      <c r="N5">
        <f t="shared" si="2"/>
        <v>1</v>
      </c>
    </row>
    <row r="6" spans="1:14">
      <c r="A6" s="3" t="s">
        <v>17</v>
      </c>
      <c r="B6" s="4">
        <v>2.2281932830810498E-2</v>
      </c>
      <c r="C6" s="4">
        <v>7.0541048049926711E-2</v>
      </c>
      <c r="D6" s="4">
        <v>8.2580089569091741E-3</v>
      </c>
      <c r="E6" s="4">
        <v>1.157984733581538E-2</v>
      </c>
      <c r="F6" s="4">
        <v>5.5286884307861285E-3</v>
      </c>
      <c r="G6" s="4">
        <v>3.9556455612182559E-2</v>
      </c>
      <c r="H6" s="4">
        <v>2.7667856216430597E-2</v>
      </c>
      <c r="I6" s="4">
        <v>1.2265396118164022E-2</v>
      </c>
      <c r="J6" s="4">
        <v>4.8248291015624964E-3</v>
      </c>
      <c r="K6" s="4">
        <v>6.8007946014404241E-3</v>
      </c>
      <c r="L6" s="8">
        <f t="shared" si="0"/>
        <v>9.8000000000000007</v>
      </c>
      <c r="M6" s="1">
        <f t="shared" si="1"/>
        <v>1.1922621726989701E-2</v>
      </c>
      <c r="N6">
        <f t="shared" si="2"/>
        <v>10</v>
      </c>
    </row>
    <row r="7" spans="1:14">
      <c r="A7" s="3" t="s">
        <v>18</v>
      </c>
      <c r="B7" s="4">
        <v>5.6729078292846638E-2</v>
      </c>
      <c r="C7" s="4">
        <v>9.8283481597900152E-2</v>
      </c>
      <c r="D7" s="4">
        <v>1.4136266708373979E-2</v>
      </c>
      <c r="E7" s="4">
        <v>3.2261753082275337E-2</v>
      </c>
      <c r="F7" s="4">
        <v>1.7369365692138643E-2</v>
      </c>
      <c r="G7" s="4">
        <v>4.4115066528320278E-2</v>
      </c>
      <c r="H7" s="4">
        <v>5.0067806243896437E-2</v>
      </c>
      <c r="I7" s="4">
        <v>2.8739643096923801E-2</v>
      </c>
      <c r="J7" s="4">
        <v>5.0230169296264629E-2</v>
      </c>
      <c r="K7" s="4">
        <v>2.0837497711181603E-2</v>
      </c>
      <c r="L7" s="8">
        <f t="shared" si="0"/>
        <v>8.8000000000000007</v>
      </c>
      <c r="M7" s="1">
        <f t="shared" si="1"/>
        <v>3.8188409805297807E-2</v>
      </c>
      <c r="N7">
        <f t="shared" si="2"/>
        <v>9</v>
      </c>
    </row>
    <row r="8" spans="1:14">
      <c r="A8" s="3" t="s">
        <v>19</v>
      </c>
      <c r="B8" s="4">
        <v>0.86807160377502424</v>
      </c>
      <c r="C8" s="4">
        <v>2.1562452793121301</v>
      </c>
      <c r="D8" s="4">
        <v>1.1514677524566601</v>
      </c>
      <c r="E8" s="4">
        <v>0.85970163345336859</v>
      </c>
      <c r="F8" s="4">
        <v>0.84602565765380811</v>
      </c>
      <c r="G8" s="4"/>
      <c r="H8" s="4">
        <v>0.96453595161437955</v>
      </c>
      <c r="I8" s="4">
        <v>0.87227354049682582</v>
      </c>
      <c r="J8" s="4">
        <v>0.84741196632385196</v>
      </c>
      <c r="K8" s="4">
        <v>0.84940099716186468</v>
      </c>
      <c r="L8" s="8">
        <f t="shared" si="0"/>
        <v>5.0999999999999996</v>
      </c>
      <c r="M8" s="1">
        <f t="shared" si="1"/>
        <v>0.86807160377502424</v>
      </c>
      <c r="N8">
        <f t="shared" si="2"/>
        <v>4</v>
      </c>
    </row>
    <row r="9" spans="1:14">
      <c r="A9" s="3" t="s">
        <v>20</v>
      </c>
      <c r="B9" s="4">
        <v>0.26830649375915455</v>
      </c>
      <c r="C9" s="4">
        <v>2938.2452881812997</v>
      </c>
      <c r="D9" s="4">
        <v>2.6372647762298538</v>
      </c>
      <c r="E9" s="4">
        <v>0.49879760742187462</v>
      </c>
      <c r="F9" s="4">
        <v>0.24563889503478958</v>
      </c>
      <c r="G9" s="4">
        <v>74.833866024017311</v>
      </c>
      <c r="H9" s="4">
        <v>24.510053062438942</v>
      </c>
      <c r="I9" s="4">
        <v>0.30187740325927692</v>
      </c>
      <c r="J9" s="4">
        <v>0.17399950027465799</v>
      </c>
      <c r="K9" s="4">
        <v>0.20069832801818804</v>
      </c>
      <c r="L9" s="8">
        <f t="shared" si="0"/>
        <v>5.3</v>
      </c>
      <c r="M9" s="1">
        <f t="shared" si="1"/>
        <v>0.40033750534057577</v>
      </c>
      <c r="N9">
        <f t="shared" si="2"/>
        <v>6</v>
      </c>
    </row>
    <row r="10" spans="1:14">
      <c r="A10" s="3" t="s">
        <v>21</v>
      </c>
      <c r="B10" s="4">
        <v>0.29870624542236301</v>
      </c>
      <c r="C10" s="4">
        <v>13386.59745121</v>
      </c>
      <c r="D10" s="4">
        <v>26.279548883438064</v>
      </c>
      <c r="E10" s="4">
        <v>0.1219800472259516</v>
      </c>
      <c r="F10" s="4">
        <v>0.41547741889953543</v>
      </c>
      <c r="G10" s="4">
        <v>2432.71713757514</v>
      </c>
      <c r="H10" s="4">
        <v>115.25832014083839</v>
      </c>
      <c r="I10" s="4">
        <v>0.7127047061920162</v>
      </c>
      <c r="J10" s="4">
        <v>0.76378860473632759</v>
      </c>
      <c r="K10" s="4">
        <v>5.1715373992919866E-2</v>
      </c>
      <c r="L10" s="8">
        <f t="shared" si="0"/>
        <v>4.0999999999999996</v>
      </c>
      <c r="M10" s="1">
        <f t="shared" si="1"/>
        <v>0.7382466554641719</v>
      </c>
      <c r="N10">
        <f t="shared" si="2"/>
        <v>5</v>
      </c>
    </row>
    <row r="11" spans="1:14">
      <c r="A11" s="3" t="s">
        <v>22</v>
      </c>
      <c r="B11" s="4">
        <v>0.24638566970825124</v>
      </c>
      <c r="C11" s="4">
        <v>0.65930938720703069</v>
      </c>
      <c r="D11" s="4">
        <v>0.32650604248046822</v>
      </c>
      <c r="E11" s="4">
        <v>0.203970098495483</v>
      </c>
      <c r="F11" s="4">
        <v>0.25196366310119578</v>
      </c>
      <c r="G11" s="4"/>
      <c r="H11" s="4">
        <v>0.27090640068054117</v>
      </c>
      <c r="I11" s="4">
        <v>0.21511106491088822</v>
      </c>
      <c r="J11" s="4">
        <v>0.19020729064941339</v>
      </c>
      <c r="K11" s="4">
        <v>0.23639683723449637</v>
      </c>
      <c r="L11" s="8">
        <f t="shared" si="0"/>
        <v>7.5</v>
      </c>
      <c r="M11" s="1">
        <f t="shared" si="1"/>
        <v>0.24638566970825124</v>
      </c>
      <c r="N11">
        <f t="shared" si="2"/>
        <v>8</v>
      </c>
    </row>
    <row r="12" spans="1:14">
      <c r="A12" s="2" t="s">
        <v>13</v>
      </c>
      <c r="B12" s="5">
        <v>0.45755786780000002</v>
      </c>
      <c r="C12" s="5">
        <v>0.33624002860000002</v>
      </c>
      <c r="D12" s="5">
        <v>0.2703748694</v>
      </c>
      <c r="E12" s="5">
        <v>0.3189560776</v>
      </c>
      <c r="F12" s="5">
        <v>0.29262712099999999</v>
      </c>
      <c r="G12" s="5">
        <v>0.29789227239999999</v>
      </c>
      <c r="H12" s="5">
        <v>0.50887370300000001</v>
      </c>
      <c r="I12" s="5">
        <v>0.33832050800000002</v>
      </c>
      <c r="J12" s="5">
        <v>0.3132094292</v>
      </c>
      <c r="K12" s="5">
        <v>0.30164760340000002</v>
      </c>
      <c r="L12" s="8">
        <f>SUM(B24:K24)/10</f>
        <v>6.3</v>
      </c>
      <c r="M12" s="1">
        <f t="shared" si="1"/>
        <v>0.31608275340000003</v>
      </c>
      <c r="N12">
        <f>RANK(M12,M$3:M$12)</f>
        <v>7</v>
      </c>
    </row>
    <row r="14" spans="1:14">
      <c r="A14" s="8" t="s">
        <v>23</v>
      </c>
    </row>
    <row r="15" spans="1:14">
      <c r="A15" s="6" t="s">
        <v>14</v>
      </c>
      <c r="B15">
        <f>_xlfn.IFNA(RANK(B3,B$3:B$12),10)</f>
        <v>3</v>
      </c>
      <c r="C15">
        <f t="shared" ref="C15:K15" si="3">_xlfn.IFNA(RANK(C3,C$3:C$12),10)</f>
        <v>5</v>
      </c>
      <c r="D15">
        <f t="shared" si="3"/>
        <v>4</v>
      </c>
      <c r="E15">
        <f t="shared" si="3"/>
        <v>2</v>
      </c>
      <c r="F15">
        <f t="shared" si="3"/>
        <v>2</v>
      </c>
      <c r="G15">
        <f t="shared" si="3"/>
        <v>5</v>
      </c>
      <c r="H15">
        <f t="shared" si="3"/>
        <v>5</v>
      </c>
      <c r="I15">
        <f t="shared" si="3"/>
        <v>3</v>
      </c>
      <c r="J15">
        <f t="shared" si="3"/>
        <v>3</v>
      </c>
      <c r="K15">
        <f t="shared" si="3"/>
        <v>4</v>
      </c>
    </row>
    <row r="16" spans="1:14">
      <c r="A16" s="6" t="s">
        <v>15</v>
      </c>
      <c r="B16">
        <f t="shared" ref="B16:K16" si="4">_xlfn.IFNA(RANK(B4,B$3:B$12),10)</f>
        <v>2</v>
      </c>
      <c r="C16">
        <f t="shared" si="4"/>
        <v>4</v>
      </c>
      <c r="D16">
        <f t="shared" si="4"/>
        <v>3</v>
      </c>
      <c r="E16">
        <f t="shared" si="4"/>
        <v>3</v>
      </c>
      <c r="F16">
        <f t="shared" si="4"/>
        <v>3</v>
      </c>
      <c r="G16">
        <f t="shared" si="4"/>
        <v>4</v>
      </c>
      <c r="H16">
        <f t="shared" si="4"/>
        <v>4</v>
      </c>
      <c r="I16">
        <f t="shared" si="4"/>
        <v>2</v>
      </c>
      <c r="J16">
        <f t="shared" si="4"/>
        <v>2</v>
      </c>
      <c r="K16">
        <f t="shared" si="4"/>
        <v>2</v>
      </c>
    </row>
    <row r="17" spans="1:11">
      <c r="A17" s="6" t="s">
        <v>16</v>
      </c>
      <c r="B17">
        <f t="shared" ref="B17:K17" si="5">_xlfn.IFNA(RANK(B5,B$3:B$12),10)</f>
        <v>1</v>
      </c>
      <c r="C17">
        <f t="shared" si="5"/>
        <v>3</v>
      </c>
      <c r="D17">
        <f t="shared" si="5"/>
        <v>2</v>
      </c>
      <c r="E17">
        <f t="shared" si="5"/>
        <v>1</v>
      </c>
      <c r="F17">
        <f t="shared" si="5"/>
        <v>1</v>
      </c>
      <c r="G17">
        <f t="shared" si="5"/>
        <v>3</v>
      </c>
      <c r="H17">
        <f t="shared" si="5"/>
        <v>3</v>
      </c>
      <c r="I17">
        <f t="shared" si="5"/>
        <v>1</v>
      </c>
      <c r="J17">
        <f t="shared" si="5"/>
        <v>1</v>
      </c>
      <c r="K17">
        <f t="shared" si="5"/>
        <v>1</v>
      </c>
    </row>
    <row r="18" spans="1:11">
      <c r="A18" s="3" t="s">
        <v>17</v>
      </c>
      <c r="B18">
        <f t="shared" ref="B18:K18" si="6">_xlfn.IFNA(RANK(B6,B$3:B$12),10)</f>
        <v>10</v>
      </c>
      <c r="C18">
        <f t="shared" si="6"/>
        <v>10</v>
      </c>
      <c r="D18">
        <f t="shared" si="6"/>
        <v>10</v>
      </c>
      <c r="E18">
        <f t="shared" si="6"/>
        <v>10</v>
      </c>
      <c r="F18">
        <f t="shared" si="6"/>
        <v>10</v>
      </c>
      <c r="G18">
        <f t="shared" si="6"/>
        <v>8</v>
      </c>
      <c r="H18">
        <f t="shared" si="6"/>
        <v>10</v>
      </c>
      <c r="I18">
        <f t="shared" si="6"/>
        <v>10</v>
      </c>
      <c r="J18">
        <f t="shared" si="6"/>
        <v>10</v>
      </c>
      <c r="K18">
        <f t="shared" si="6"/>
        <v>10</v>
      </c>
    </row>
    <row r="19" spans="1:11">
      <c r="A19" s="3" t="s">
        <v>18</v>
      </c>
      <c r="B19">
        <f t="shared" ref="B19:K19" si="7">_xlfn.IFNA(RANK(B7,B$3:B$12),10)</f>
        <v>9</v>
      </c>
      <c r="C19">
        <f t="shared" si="7"/>
        <v>9</v>
      </c>
      <c r="D19">
        <f t="shared" si="7"/>
        <v>9</v>
      </c>
      <c r="E19">
        <f t="shared" si="7"/>
        <v>9</v>
      </c>
      <c r="F19">
        <f t="shared" si="7"/>
        <v>9</v>
      </c>
      <c r="G19">
        <f t="shared" si="7"/>
        <v>7</v>
      </c>
      <c r="H19">
        <f t="shared" si="7"/>
        <v>9</v>
      </c>
      <c r="I19">
        <f t="shared" si="7"/>
        <v>9</v>
      </c>
      <c r="J19">
        <f t="shared" si="7"/>
        <v>9</v>
      </c>
      <c r="K19">
        <f t="shared" si="7"/>
        <v>9</v>
      </c>
    </row>
    <row r="20" spans="1:11">
      <c r="A20" s="3" t="s">
        <v>19</v>
      </c>
      <c r="B20">
        <f t="shared" ref="B20:K20" si="8">_xlfn.IFNA(RANK(B8,B$3:B$12),10)</f>
        <v>4</v>
      </c>
      <c r="C20">
        <f t="shared" si="8"/>
        <v>6</v>
      </c>
      <c r="D20">
        <f t="shared" si="8"/>
        <v>6</v>
      </c>
      <c r="E20">
        <f t="shared" si="8"/>
        <v>4</v>
      </c>
      <c r="F20">
        <f t="shared" si="8"/>
        <v>4</v>
      </c>
      <c r="G20">
        <f t="shared" si="8"/>
        <v>10</v>
      </c>
      <c r="H20">
        <f t="shared" si="8"/>
        <v>6</v>
      </c>
      <c r="I20">
        <f t="shared" si="8"/>
        <v>4</v>
      </c>
      <c r="J20">
        <f t="shared" si="8"/>
        <v>4</v>
      </c>
      <c r="K20">
        <f t="shared" si="8"/>
        <v>3</v>
      </c>
    </row>
    <row r="21" spans="1:11">
      <c r="A21" s="3" t="s">
        <v>20</v>
      </c>
      <c r="B21">
        <f t="shared" ref="B21:K21" si="9">_xlfn.IFNA(RANK(B9,B$3:B$12),10)</f>
        <v>7</v>
      </c>
      <c r="C21">
        <f t="shared" si="9"/>
        <v>2</v>
      </c>
      <c r="D21">
        <f t="shared" si="9"/>
        <v>5</v>
      </c>
      <c r="E21">
        <f t="shared" si="9"/>
        <v>5</v>
      </c>
      <c r="F21">
        <f t="shared" si="9"/>
        <v>8</v>
      </c>
      <c r="G21">
        <f t="shared" si="9"/>
        <v>2</v>
      </c>
      <c r="H21">
        <f t="shared" si="9"/>
        <v>2</v>
      </c>
      <c r="I21">
        <f t="shared" si="9"/>
        <v>7</v>
      </c>
      <c r="J21">
        <f t="shared" si="9"/>
        <v>8</v>
      </c>
      <c r="K21">
        <f t="shared" si="9"/>
        <v>7</v>
      </c>
    </row>
    <row r="22" spans="1:11">
      <c r="A22" s="3" t="s">
        <v>21</v>
      </c>
      <c r="B22">
        <f t="shared" ref="B22:K22" si="10">_xlfn.IFNA(RANK(B10,B$3:B$12),10)</f>
        <v>6</v>
      </c>
      <c r="C22">
        <f t="shared" si="10"/>
        <v>1</v>
      </c>
      <c r="D22">
        <f t="shared" si="10"/>
        <v>1</v>
      </c>
      <c r="E22">
        <f t="shared" si="10"/>
        <v>8</v>
      </c>
      <c r="F22">
        <f t="shared" si="10"/>
        <v>5</v>
      </c>
      <c r="G22">
        <f t="shared" si="10"/>
        <v>1</v>
      </c>
      <c r="H22">
        <f t="shared" si="10"/>
        <v>1</v>
      </c>
      <c r="I22">
        <f t="shared" si="10"/>
        <v>5</v>
      </c>
      <c r="J22">
        <f t="shared" si="10"/>
        <v>5</v>
      </c>
      <c r="K22">
        <f t="shared" si="10"/>
        <v>8</v>
      </c>
    </row>
    <row r="23" spans="1:11">
      <c r="A23" s="3" t="s">
        <v>22</v>
      </c>
      <c r="B23">
        <f t="shared" ref="B23:K23" si="11">_xlfn.IFNA(RANK(B11,B$3:B$12),10)</f>
        <v>8</v>
      </c>
      <c r="C23">
        <f t="shared" si="11"/>
        <v>7</v>
      </c>
      <c r="D23">
        <f t="shared" si="11"/>
        <v>7</v>
      </c>
      <c r="E23">
        <f t="shared" si="11"/>
        <v>7</v>
      </c>
      <c r="F23">
        <f t="shared" si="11"/>
        <v>7</v>
      </c>
      <c r="G23">
        <f t="shared" si="11"/>
        <v>10</v>
      </c>
      <c r="H23">
        <f t="shared" si="11"/>
        <v>8</v>
      </c>
      <c r="I23">
        <f t="shared" si="11"/>
        <v>8</v>
      </c>
      <c r="J23">
        <f t="shared" si="11"/>
        <v>7</v>
      </c>
      <c r="K23">
        <f t="shared" si="11"/>
        <v>6</v>
      </c>
    </row>
    <row r="24" spans="1:11">
      <c r="A24" s="2" t="s">
        <v>13</v>
      </c>
      <c r="B24">
        <f t="shared" ref="B24:K24" si="12">_xlfn.IFNA(RANK(B12,B$3:B$12),10)</f>
        <v>5</v>
      </c>
      <c r="C24">
        <f>_xlfn.IFNA(RANK(C12,C$3:C$12),10)</f>
        <v>8</v>
      </c>
      <c r="D24">
        <f t="shared" si="12"/>
        <v>8</v>
      </c>
      <c r="E24">
        <f t="shared" si="12"/>
        <v>6</v>
      </c>
      <c r="F24">
        <f t="shared" si="12"/>
        <v>6</v>
      </c>
      <c r="G24">
        <f t="shared" si="12"/>
        <v>6</v>
      </c>
      <c r="H24">
        <f t="shared" si="12"/>
        <v>7</v>
      </c>
      <c r="I24">
        <f t="shared" si="12"/>
        <v>6</v>
      </c>
      <c r="J24">
        <f t="shared" si="12"/>
        <v>6</v>
      </c>
      <c r="K24">
        <f t="shared" si="12"/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2026-06-16T22:25:00Z</dcterms:created>
  <dcterms:modified xsi:type="dcterms:W3CDTF">2026-06-16T11:59:20Z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588700EFDE29884E4836316A5DCDCAE2_42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